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ket Manval\2026\10 October 2026\26-10-26\Upl\Interim Card Statistics for website- September 2026\"/>
    </mc:Choice>
  </mc:AlternateContent>
  <xr:revisionPtr revIDLastSave="0" documentId="13_ncr:1_{9EAFE099-221D-45C0-A8A0-179E63BFA67C}" xr6:coauthVersionLast="47" xr6:coauthVersionMax="47" xr10:uidLastSave="{00000000-0000-0000-0000-000000000000}"/>
  <bookViews>
    <workbookView xWindow="-120" yWindow="-120" windowWidth="29040" windowHeight="15720" xr2:uid="{2B7AF38B-2D8D-40A9-8BD4-D4A72BF3FA2C}"/>
  </bookViews>
  <sheets>
    <sheet name="For Website September 2026" sheetId="1" r:id="rId1"/>
  </sheets>
  <definedNames>
    <definedName name="_xlnm._FilterDatabase" localSheetId="0" hidden="1">'For Website September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8" i="1" l="1"/>
  <c r="D78" i="1"/>
  <c r="R78" i="1"/>
  <c r="AA78" i="1"/>
  <c r="Z78" i="1"/>
  <c r="Y78" i="1"/>
  <c r="X78" i="1"/>
  <c r="V78" i="1"/>
  <c r="U78" i="1"/>
  <c r="T78" i="1"/>
  <c r="S78" i="1"/>
  <c r="Q78" i="1"/>
  <c r="P78" i="1"/>
  <c r="O78" i="1"/>
  <c r="N78" i="1"/>
  <c r="K78" i="1"/>
  <c r="J78" i="1"/>
  <c r="I78" i="1"/>
  <c r="H78" i="1"/>
  <c r="F78" i="1"/>
  <c r="G78" i="1" l="1"/>
  <c r="W78" i="1"/>
  <c r="L78" i="1"/>
  <c r="AB78" i="1"/>
  <c r="M78" i="1"/>
  <c r="AC78" i="1"/>
</calcChain>
</file>

<file path=xl/sharedStrings.xml><?xml version="1.0" encoding="utf-8"?>
<sst xmlns="http://schemas.openxmlformats.org/spreadsheetml/2006/main" count="146" uniqueCount="124">
  <si>
    <t>ATM, Acceptance Infrastructure and Card Statistics for the Month of September 2026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</si>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</sst>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Protection="1">
      <protection locked="0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6" fillId="2" borderId="0" xfId="1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0" fontId="2" fillId="2" borderId="0" xfId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 xr:uid="{67C93FD1-4B86-4E83-85D4-81CE5C60CA8B}"/>
    <cellStyle name="Normal 2 2" xfId="1" xr:uid="{6422BFD4-493E-4221-8138-A7B65CB80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34DB-F8A0-4A32-85A5-FDEBD5FF2371}">
  <dimension ref="A2:AE107"/>
  <sheetViews>
    <sheetView tabSelected="1" zoomScaleNormal="100" workbookViewId="0">
      <selection activeCell="A2" sqref="A2"/>
    </sheetView>
  </sheetViews>
  <sheetFormatPr defaultColWidth="8.875" defaultRowHeight="12.75"/>
  <cols>
    <col min="1" max="1" width="4.125" style="27" customWidth="1"/>
    <col min="2" max="2" width="8.625" style="26" customWidth="1"/>
    <col min="3" max="3" width="44" style="26" bestFit="1" customWidth="1"/>
    <col min="4" max="4" width="9.5" style="28" customWidth="1"/>
    <col min="5" max="5" width="9.375" style="28" customWidth="1"/>
    <col min="6" max="6" width="9.625" style="26" customWidth="1"/>
    <col min="7" max="7" width="9.375" style="26" customWidth="1"/>
    <col min="8" max="8" width="10.5" style="26" customWidth="1"/>
    <col min="9" max="9" width="11.5" style="26" customWidth="1"/>
    <col min="10" max="10" width="11" style="26" customWidth="1"/>
    <col min="11" max="11" width="10.625" style="26" customWidth="1"/>
    <col min="12" max="12" width="10.375" style="26" bestFit="1" customWidth="1"/>
    <col min="13" max="13" width="12" style="26" bestFit="1" customWidth="1"/>
    <col min="14" max="14" width="10" style="26" bestFit="1" customWidth="1"/>
    <col min="15" max="15" width="12" style="26" bestFit="1" customWidth="1"/>
    <col min="16" max="16" width="10.625" style="26" customWidth="1"/>
    <col min="17" max="17" width="10" style="26" bestFit="1" customWidth="1"/>
    <col min="18" max="18" width="10" style="26" customWidth="1"/>
    <col min="19" max="19" width="12" style="26" bestFit="1" customWidth="1"/>
    <col min="20" max="20" width="10" style="26" bestFit="1" customWidth="1"/>
    <col min="21" max="23" width="12" style="26" bestFit="1" customWidth="1"/>
    <col min="24" max="24" width="10.875" style="26" customWidth="1"/>
    <col min="25" max="25" width="12" style="26" bestFit="1" customWidth="1"/>
    <col min="26" max="26" width="10" style="26" bestFit="1" customWidth="1"/>
    <col min="27" max="27" width="11" style="26" bestFit="1" customWidth="1"/>
    <col min="28" max="28" width="10.125" style="26" customWidth="1"/>
    <col min="29" max="29" width="12" style="26" bestFit="1" customWidth="1"/>
    <col min="30" max="30" width="12.375" style="26" customWidth="1"/>
    <col min="31" max="16384" width="8.875" style="26"/>
  </cols>
  <sheetData>
    <row r="2" spans="1:29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>
      <c r="B3" s="15" t="s">
        <v>1</v>
      </c>
      <c r="C3" s="15" t="s">
        <v>2</v>
      </c>
      <c r="D3" s="16" t="s">
        <v>3</v>
      </c>
      <c r="E3" s="16"/>
      <c r="F3" s="16"/>
      <c r="G3" s="16"/>
      <c r="H3" s="16"/>
      <c r="I3" s="16"/>
      <c r="J3" s="16"/>
      <c r="K3" s="16"/>
      <c r="L3" s="15" t="s">
        <v>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>
      <c r="B4" s="15"/>
      <c r="C4" s="15"/>
      <c r="D4" s="17" t="s">
        <v>5</v>
      </c>
      <c r="E4" s="17"/>
      <c r="F4" s="17"/>
      <c r="G4" s="17"/>
      <c r="H4" s="17"/>
      <c r="I4" s="17"/>
      <c r="J4" s="17"/>
      <c r="K4" s="17"/>
      <c r="L4" s="15" t="s">
        <v>6</v>
      </c>
      <c r="M4" s="15"/>
      <c r="N4" s="15"/>
      <c r="O4" s="15"/>
      <c r="P4" s="15"/>
      <c r="Q4" s="15"/>
      <c r="R4" s="15"/>
      <c r="S4" s="15"/>
      <c r="T4" s="15" t="s">
        <v>7</v>
      </c>
      <c r="U4" s="15"/>
      <c r="V4" s="15"/>
      <c r="W4" s="15"/>
      <c r="X4" s="15"/>
      <c r="Y4" s="15"/>
      <c r="Z4" s="15"/>
      <c r="AA4" s="15"/>
      <c r="AB4" s="15"/>
      <c r="AC4" s="15"/>
    </row>
    <row r="5" spans="1:29">
      <c r="B5" s="15"/>
      <c r="C5" s="15"/>
      <c r="D5" s="17" t="s">
        <v>8</v>
      </c>
      <c r="E5" s="17"/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7" t="s">
        <v>14</v>
      </c>
      <c r="L5" s="15" t="s">
        <v>15</v>
      </c>
      <c r="M5" s="15"/>
      <c r="N5" s="15"/>
      <c r="O5" s="15"/>
      <c r="P5" s="15"/>
      <c r="Q5" s="15"/>
      <c r="R5" s="15" t="s">
        <v>16</v>
      </c>
      <c r="S5" s="15"/>
      <c r="T5" s="15" t="s">
        <v>15</v>
      </c>
      <c r="U5" s="15"/>
      <c r="V5" s="15"/>
      <c r="W5" s="15"/>
      <c r="X5" s="15"/>
      <c r="Y5" s="15"/>
      <c r="Z5" s="15" t="s">
        <v>16</v>
      </c>
      <c r="AA5" s="15"/>
      <c r="AB5" s="15"/>
      <c r="AC5" s="15"/>
    </row>
    <row r="6" spans="1:29">
      <c r="B6" s="15"/>
      <c r="C6" s="15"/>
      <c r="D6" s="17"/>
      <c r="E6" s="17"/>
      <c r="F6" s="17"/>
      <c r="G6" s="17"/>
      <c r="H6" s="17"/>
      <c r="I6" s="17"/>
      <c r="J6" s="17"/>
      <c r="K6" s="17"/>
      <c r="L6" s="17" t="s">
        <v>17</v>
      </c>
      <c r="M6" s="17"/>
      <c r="N6" s="17" t="s">
        <v>18</v>
      </c>
      <c r="O6" s="17"/>
      <c r="P6" s="15" t="s">
        <v>19</v>
      </c>
      <c r="Q6" s="15"/>
      <c r="R6" s="15" t="s">
        <v>20</v>
      </c>
      <c r="S6" s="15"/>
      <c r="T6" s="17" t="s">
        <v>17</v>
      </c>
      <c r="U6" s="17"/>
      <c r="V6" s="17" t="s">
        <v>18</v>
      </c>
      <c r="W6" s="17"/>
      <c r="X6" s="15" t="s">
        <v>19</v>
      </c>
      <c r="Y6" s="15"/>
      <c r="Z6" s="17" t="s">
        <v>21</v>
      </c>
      <c r="AA6" s="17"/>
      <c r="AB6" s="17" t="s">
        <v>9</v>
      </c>
      <c r="AC6" s="17"/>
    </row>
    <row r="7" spans="1:29" s="30" customFormat="1" ht="25.5">
      <c r="A7" s="29"/>
      <c r="B7" s="15"/>
      <c r="C7" s="15"/>
      <c r="D7" s="18" t="s">
        <v>22</v>
      </c>
      <c r="E7" s="19" t="s">
        <v>23</v>
      </c>
      <c r="F7" s="17"/>
      <c r="G7" s="17"/>
      <c r="H7" s="17"/>
      <c r="I7" s="17"/>
      <c r="J7" s="17"/>
      <c r="K7" s="17"/>
      <c r="L7" s="24" t="s">
        <v>24</v>
      </c>
      <c r="M7" s="24" t="s">
        <v>25</v>
      </c>
      <c r="N7" s="24" t="s">
        <v>24</v>
      </c>
      <c r="O7" s="24" t="s">
        <v>25</v>
      </c>
      <c r="P7" s="24" t="s">
        <v>24</v>
      </c>
      <c r="Q7" s="24" t="s">
        <v>25</v>
      </c>
      <c r="R7" s="24" t="s">
        <v>24</v>
      </c>
      <c r="S7" s="24" t="s">
        <v>25</v>
      </c>
      <c r="T7" s="24" t="s">
        <v>24</v>
      </c>
      <c r="U7" s="24" t="s">
        <v>25</v>
      </c>
      <c r="V7" s="24" t="s">
        <v>24</v>
      </c>
      <c r="W7" s="24" t="s">
        <v>25</v>
      </c>
      <c r="X7" s="24" t="s">
        <v>24</v>
      </c>
      <c r="Y7" s="24" t="s">
        <v>25</v>
      </c>
      <c r="Z7" s="24" t="s">
        <v>24</v>
      </c>
      <c r="AA7" s="24" t="s">
        <v>25</v>
      </c>
      <c r="AB7" s="24" t="s">
        <v>24</v>
      </c>
      <c r="AC7" s="24" t="s">
        <v>25</v>
      </c>
    </row>
    <row r="8" spans="1:29">
      <c r="B8" s="20"/>
      <c r="C8" s="20"/>
      <c r="D8" s="18">
        <v>1</v>
      </c>
      <c r="E8" s="18">
        <v>2</v>
      </c>
      <c r="F8" s="18">
        <v>3</v>
      </c>
      <c r="G8" s="18">
        <v>4</v>
      </c>
      <c r="H8" s="18">
        <v>5</v>
      </c>
      <c r="I8" s="18">
        <v>6</v>
      </c>
      <c r="J8" s="18">
        <v>7</v>
      </c>
      <c r="K8" s="18">
        <v>8</v>
      </c>
      <c r="L8" s="18">
        <v>9</v>
      </c>
      <c r="M8" s="18">
        <v>10</v>
      </c>
      <c r="N8" s="18">
        <v>11</v>
      </c>
      <c r="O8" s="18">
        <v>12</v>
      </c>
      <c r="P8" s="18">
        <v>13</v>
      </c>
      <c r="Q8" s="18">
        <v>14</v>
      </c>
      <c r="R8" s="18">
        <v>15</v>
      </c>
      <c r="S8" s="18">
        <v>16</v>
      </c>
      <c r="T8" s="18">
        <v>17</v>
      </c>
      <c r="U8" s="18">
        <v>18</v>
      </c>
      <c r="V8" s="18">
        <v>19</v>
      </c>
      <c r="W8" s="18">
        <v>20</v>
      </c>
      <c r="X8" s="18">
        <v>21</v>
      </c>
      <c r="Y8" s="18">
        <v>22</v>
      </c>
      <c r="Z8" s="18">
        <v>23</v>
      </c>
      <c r="AA8" s="18">
        <v>24</v>
      </c>
      <c r="AB8" s="18">
        <v>25</v>
      </c>
      <c r="AC8" s="18">
        <v>26</v>
      </c>
    </row>
    <row r="9" spans="1:29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B10" s="8" t="s">
        <v>27</v>
      </c>
      <c r="C10" s="25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B11" s="37">
        <v>1</v>
      </c>
      <c r="C11" s="3" t="s">
        <v>28</v>
      </c>
      <c r="D11" s="4">
        <v>9134</v>
      </c>
      <c r="E11" s="4">
        <v>2499</v>
      </c>
      <c r="F11" s="4">
        <v>68433</v>
      </c>
      <c r="G11" s="4">
        <v>40466</v>
      </c>
      <c r="H11" s="4">
        <v>30018</v>
      </c>
      <c r="I11" s="4">
        <v>3481217</v>
      </c>
      <c r="J11" s="4">
        <v>3491782</v>
      </c>
      <c r="K11" s="4">
        <v>79182230</v>
      </c>
      <c r="L11" s="5">
        <v>12137609</v>
      </c>
      <c r="M11" s="5">
        <v>21192417.496300001</v>
      </c>
      <c r="N11" s="5">
        <v>4417887</v>
      </c>
      <c r="O11" s="5">
        <v>16124731.854</v>
      </c>
      <c r="P11" s="5">
        <v>0</v>
      </c>
      <c r="Q11" s="5">
        <v>0</v>
      </c>
      <c r="R11" s="5">
        <v>13272</v>
      </c>
      <c r="S11" s="5">
        <v>78274.3</v>
      </c>
      <c r="T11" s="5">
        <v>2285697</v>
      </c>
      <c r="U11" s="5">
        <v>5479433.954979999</v>
      </c>
      <c r="V11" s="5">
        <v>560616</v>
      </c>
      <c r="W11" s="5">
        <v>1593701.5789999999</v>
      </c>
      <c r="X11" s="5">
        <v>0</v>
      </c>
      <c r="Y11" s="5">
        <v>0</v>
      </c>
      <c r="Z11" s="5">
        <v>19418813</v>
      </c>
      <c r="AA11" s="5">
        <v>102422034.87</v>
      </c>
      <c r="AB11" s="5">
        <v>0</v>
      </c>
      <c r="AC11" s="5">
        <v>0</v>
      </c>
    </row>
    <row r="12" spans="1:29">
      <c r="B12" s="37">
        <v>2</v>
      </c>
      <c r="C12" s="3" t="s">
        <v>29</v>
      </c>
      <c r="D12" s="4">
        <v>5227</v>
      </c>
      <c r="E12" s="4">
        <v>2441</v>
      </c>
      <c r="F12" s="4">
        <v>20584</v>
      </c>
      <c r="G12" s="4">
        <v>25669</v>
      </c>
      <c r="H12" s="4">
        <v>0</v>
      </c>
      <c r="I12" s="4">
        <v>1531076</v>
      </c>
      <c r="J12" s="4">
        <v>165284</v>
      </c>
      <c r="K12" s="4">
        <v>38428963</v>
      </c>
      <c r="L12" s="5">
        <v>123752</v>
      </c>
      <c r="M12" s="5">
        <v>664672.44975999999</v>
      </c>
      <c r="N12" s="5">
        <v>736432</v>
      </c>
      <c r="O12" s="5">
        <v>1379901.19518</v>
      </c>
      <c r="P12" s="5">
        <v>0</v>
      </c>
      <c r="Q12" s="5">
        <v>0</v>
      </c>
      <c r="R12" s="5">
        <v>9870</v>
      </c>
      <c r="S12" s="5">
        <v>59494.89503</v>
      </c>
      <c r="T12" s="5">
        <v>1629397</v>
      </c>
      <c r="U12" s="5">
        <v>3673990.56856</v>
      </c>
      <c r="V12" s="5">
        <v>242496</v>
      </c>
      <c r="W12" s="5">
        <v>960051.66452999995</v>
      </c>
      <c r="X12" s="5">
        <v>0</v>
      </c>
      <c r="Y12" s="5">
        <v>0</v>
      </c>
      <c r="Z12" s="5">
        <v>12577846</v>
      </c>
      <c r="AA12" s="5">
        <v>57143166.818000004</v>
      </c>
      <c r="AB12" s="5">
        <v>1</v>
      </c>
      <c r="AC12" s="5">
        <v>0.2</v>
      </c>
    </row>
    <row r="13" spans="1:29">
      <c r="B13" s="37">
        <v>3</v>
      </c>
      <c r="C13" s="6" t="s">
        <v>30</v>
      </c>
      <c r="D13" s="7">
        <v>2529</v>
      </c>
      <c r="E13" s="7">
        <v>246</v>
      </c>
      <c r="F13" s="7">
        <v>1424</v>
      </c>
      <c r="G13" s="7">
        <v>6879</v>
      </c>
      <c r="H13" s="7">
        <v>355014</v>
      </c>
      <c r="I13" s="7">
        <v>988408</v>
      </c>
      <c r="J13" s="7">
        <v>0</v>
      </c>
      <c r="K13" s="7">
        <v>10172197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773881</v>
      </c>
      <c r="U13" s="5">
        <v>1838678.14998</v>
      </c>
      <c r="V13" s="5">
        <v>80695</v>
      </c>
      <c r="W13" s="5">
        <v>356679.13041000004</v>
      </c>
      <c r="X13" s="5">
        <v>5562</v>
      </c>
      <c r="Y13" s="5">
        <v>57642.571210000002</v>
      </c>
      <c r="Z13" s="5">
        <v>4888298</v>
      </c>
      <c r="AA13" s="5">
        <v>25724378.788320001</v>
      </c>
      <c r="AB13" s="5">
        <v>0</v>
      </c>
      <c r="AC13" s="5">
        <v>0</v>
      </c>
    </row>
    <row r="14" spans="1:29">
      <c r="B14" s="37">
        <v>4</v>
      </c>
      <c r="C14" s="3" t="s">
        <v>31</v>
      </c>
      <c r="D14" s="4">
        <v>7803</v>
      </c>
      <c r="E14" s="4">
        <v>2961</v>
      </c>
      <c r="F14" s="4">
        <v>96789</v>
      </c>
      <c r="G14" s="4">
        <v>13087</v>
      </c>
      <c r="H14" s="4">
        <v>0</v>
      </c>
      <c r="I14" s="4">
        <v>4653593</v>
      </c>
      <c r="J14" s="4">
        <v>1310986</v>
      </c>
      <c r="K14" s="4">
        <v>61441321</v>
      </c>
      <c r="L14" s="5">
        <v>1156977</v>
      </c>
      <c r="M14" s="5">
        <v>5117604.4460099991</v>
      </c>
      <c r="N14" s="5">
        <v>589035</v>
      </c>
      <c r="O14" s="5">
        <v>3149807.5424699998</v>
      </c>
      <c r="P14" s="5">
        <v>0</v>
      </c>
      <c r="Q14" s="5">
        <v>0</v>
      </c>
      <c r="R14" s="5">
        <v>98043</v>
      </c>
      <c r="S14" s="5">
        <v>586007.69999999995</v>
      </c>
      <c r="T14" s="5">
        <v>4524191</v>
      </c>
      <c r="U14" s="5">
        <v>13487883.946379999</v>
      </c>
      <c r="V14" s="5">
        <v>788155</v>
      </c>
      <c r="W14" s="5">
        <v>4225832.2719400004</v>
      </c>
      <c r="X14" s="5">
        <v>5080</v>
      </c>
      <c r="Y14" s="5">
        <v>100256.26300000001</v>
      </c>
      <c r="Z14" s="5">
        <v>26135654</v>
      </c>
      <c r="AA14" s="5">
        <v>138045351.6918</v>
      </c>
      <c r="AB14" s="5">
        <v>9</v>
      </c>
      <c r="AC14" s="5">
        <v>8.1999999999999993</v>
      </c>
    </row>
    <row r="15" spans="1:29">
      <c r="B15" s="37">
        <v>5</v>
      </c>
      <c r="C15" s="3" t="s">
        <v>32</v>
      </c>
      <c r="D15" s="4">
        <v>2871</v>
      </c>
      <c r="E15" s="4">
        <v>948</v>
      </c>
      <c r="F15" s="4">
        <v>3092</v>
      </c>
      <c r="G15" s="4">
        <v>13752</v>
      </c>
      <c r="H15" s="4">
        <v>38138</v>
      </c>
      <c r="I15" s="4">
        <v>1533259</v>
      </c>
      <c r="J15" s="4">
        <v>0</v>
      </c>
      <c r="K15" s="4">
        <v>29775170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743640</v>
      </c>
      <c r="U15" s="5">
        <v>2714544.5294599999</v>
      </c>
      <c r="V15" s="5">
        <v>128439</v>
      </c>
      <c r="W15" s="5">
        <v>638099.66320000007</v>
      </c>
      <c r="X15" s="5">
        <v>0</v>
      </c>
      <c r="Y15" s="5">
        <v>0</v>
      </c>
      <c r="Z15" s="5">
        <v>4269695</v>
      </c>
      <c r="AA15" s="5">
        <v>21254433.5</v>
      </c>
      <c r="AB15" s="5">
        <v>17</v>
      </c>
      <c r="AC15" s="5">
        <v>12.66818</v>
      </c>
    </row>
    <row r="16" spans="1:29">
      <c r="B16" s="37">
        <v>6</v>
      </c>
      <c r="C16" s="3" t="s">
        <v>33</v>
      </c>
      <c r="D16" s="4">
        <v>5047</v>
      </c>
      <c r="E16" s="4">
        <v>631</v>
      </c>
      <c r="F16" s="4">
        <v>30447</v>
      </c>
      <c r="G16" s="4">
        <v>18359</v>
      </c>
      <c r="H16" s="4">
        <v>0</v>
      </c>
      <c r="I16" s="4">
        <v>2852661</v>
      </c>
      <c r="J16" s="4">
        <v>272101</v>
      </c>
      <c r="K16" s="4">
        <v>37562620</v>
      </c>
      <c r="L16" s="5">
        <v>151188</v>
      </c>
      <c r="M16" s="5">
        <v>758946.12191999995</v>
      </c>
      <c r="N16" s="5">
        <v>137009</v>
      </c>
      <c r="O16" s="5">
        <v>757693.44702999992</v>
      </c>
      <c r="P16" s="5">
        <v>0</v>
      </c>
      <c r="Q16" s="5">
        <v>0</v>
      </c>
      <c r="R16" s="5">
        <v>3512</v>
      </c>
      <c r="S16" s="5">
        <v>30452.241000000002</v>
      </c>
      <c r="T16" s="5">
        <v>2169985</v>
      </c>
      <c r="U16" s="5">
        <v>5451603.2268000003</v>
      </c>
      <c r="V16" s="5">
        <v>289424</v>
      </c>
      <c r="W16" s="5">
        <v>816451.79599999997</v>
      </c>
      <c r="X16" s="5">
        <v>210</v>
      </c>
      <c r="Y16" s="5">
        <v>708.28700000000003</v>
      </c>
      <c r="Z16" s="5">
        <v>15552898</v>
      </c>
      <c r="AA16" s="5">
        <v>80790038.82359001</v>
      </c>
      <c r="AB16" s="5">
        <v>0</v>
      </c>
      <c r="AC16" s="5">
        <v>0</v>
      </c>
    </row>
    <row r="17" spans="2:29">
      <c r="B17" s="37">
        <v>7</v>
      </c>
      <c r="C17" s="3" t="s">
        <v>34</v>
      </c>
      <c r="D17" s="4">
        <v>2995</v>
      </c>
      <c r="E17" s="4">
        <v>734</v>
      </c>
      <c r="F17" s="4">
        <v>32650</v>
      </c>
      <c r="G17" s="4">
        <v>15092</v>
      </c>
      <c r="H17" s="4">
        <v>0</v>
      </c>
      <c r="I17" s="4">
        <v>627167</v>
      </c>
      <c r="J17" s="4">
        <v>211113</v>
      </c>
      <c r="K17" s="4">
        <v>23896799</v>
      </c>
      <c r="L17" s="5">
        <v>1111017</v>
      </c>
      <c r="M17" s="5">
        <v>1563097.0581199999</v>
      </c>
      <c r="N17" s="5">
        <v>81719</v>
      </c>
      <c r="O17" s="5">
        <v>360082.05320999998</v>
      </c>
      <c r="P17" s="5">
        <v>0</v>
      </c>
      <c r="Q17" s="5">
        <v>0</v>
      </c>
      <c r="R17" s="5">
        <v>11893</v>
      </c>
      <c r="S17" s="5">
        <v>67498.899999999994</v>
      </c>
      <c r="T17" s="5">
        <v>1821314</v>
      </c>
      <c r="U17" s="5">
        <v>4455915.8442900004</v>
      </c>
      <c r="V17" s="5">
        <v>202587</v>
      </c>
      <c r="W17" s="5">
        <v>664499.47727999999</v>
      </c>
      <c r="X17" s="5">
        <v>0</v>
      </c>
      <c r="Y17" s="5">
        <v>0</v>
      </c>
      <c r="Z17" s="5">
        <v>10741328</v>
      </c>
      <c r="AA17" s="5">
        <v>51736366.305890001</v>
      </c>
      <c r="AB17" s="5">
        <v>0</v>
      </c>
      <c r="AC17" s="5">
        <v>0</v>
      </c>
    </row>
    <row r="18" spans="2:29">
      <c r="B18" s="37">
        <v>8</v>
      </c>
      <c r="C18" s="3" t="s">
        <v>35</v>
      </c>
      <c r="D18" s="4">
        <v>1177</v>
      </c>
      <c r="E18" s="4">
        <v>35</v>
      </c>
      <c r="F18" s="4">
        <v>1472</v>
      </c>
      <c r="G18" s="4">
        <v>2315</v>
      </c>
      <c r="H18" s="4">
        <v>1632</v>
      </c>
      <c r="I18" s="4">
        <v>223965</v>
      </c>
      <c r="J18" s="4">
        <v>0</v>
      </c>
      <c r="K18" s="4">
        <v>4593291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35454</v>
      </c>
      <c r="U18" s="5">
        <v>123220.51700000001</v>
      </c>
      <c r="V18" s="5">
        <v>198869</v>
      </c>
      <c r="W18" s="5">
        <v>464930.36099999998</v>
      </c>
      <c r="X18" s="5">
        <v>0</v>
      </c>
      <c r="Y18" s="5">
        <v>0</v>
      </c>
      <c r="Z18" s="5">
        <v>1263052</v>
      </c>
      <c r="AA18" s="5">
        <v>6457145.9000000004</v>
      </c>
      <c r="AB18" s="5">
        <v>0</v>
      </c>
      <c r="AC18" s="5">
        <v>0</v>
      </c>
    </row>
    <row r="19" spans="2:29">
      <c r="B19" s="37">
        <v>9</v>
      </c>
      <c r="C19" s="3" t="s">
        <v>36</v>
      </c>
      <c r="D19" s="4">
        <v>7267</v>
      </c>
      <c r="E19" s="4">
        <v>3648</v>
      </c>
      <c r="F19" s="4">
        <v>29996</v>
      </c>
      <c r="G19" s="4">
        <v>0</v>
      </c>
      <c r="H19" s="4">
        <v>134858</v>
      </c>
      <c r="I19" s="4">
        <v>1318034</v>
      </c>
      <c r="J19" s="4">
        <v>1090157</v>
      </c>
      <c r="K19" s="4">
        <v>43189589</v>
      </c>
      <c r="L19" s="5">
        <v>392383</v>
      </c>
      <c r="M19" s="5">
        <v>1823820.9549400001</v>
      </c>
      <c r="N19" s="5">
        <v>5303133</v>
      </c>
      <c r="O19" s="5">
        <v>7544318.3710000003</v>
      </c>
      <c r="P19" s="5">
        <v>6</v>
      </c>
      <c r="Q19" s="5">
        <v>245.74614000000003</v>
      </c>
      <c r="R19" s="5">
        <v>5410</v>
      </c>
      <c r="S19" s="5">
        <v>18607.600549999999</v>
      </c>
      <c r="T19" s="5">
        <v>3064628</v>
      </c>
      <c r="U19" s="5">
        <v>7996021.9154899996</v>
      </c>
      <c r="V19" s="5">
        <v>620614</v>
      </c>
      <c r="W19" s="5">
        <v>1550356.1742799999</v>
      </c>
      <c r="X19" s="5">
        <v>0</v>
      </c>
      <c r="Y19" s="5">
        <v>0</v>
      </c>
      <c r="Z19" s="5">
        <v>20865074</v>
      </c>
      <c r="AA19" s="5">
        <v>111727546.3</v>
      </c>
      <c r="AB19" s="5">
        <v>0</v>
      </c>
      <c r="AC19" s="5">
        <v>0</v>
      </c>
    </row>
    <row r="20" spans="2:29">
      <c r="B20" s="37">
        <v>10</v>
      </c>
      <c r="C20" s="3" t="s">
        <v>37</v>
      </c>
      <c r="D20" s="4">
        <v>28810</v>
      </c>
      <c r="E20" s="4">
        <v>36399</v>
      </c>
      <c r="F20" s="4">
        <v>1781109</v>
      </c>
      <c r="G20" s="4">
        <v>50807</v>
      </c>
      <c r="H20" s="4">
        <v>1064251</v>
      </c>
      <c r="I20" s="4">
        <v>6144935</v>
      </c>
      <c r="J20" s="4">
        <v>23165943</v>
      </c>
      <c r="K20" s="4">
        <v>258477660</v>
      </c>
      <c r="L20" s="5">
        <v>24282436</v>
      </c>
      <c r="M20" s="5">
        <v>142622727.71057004</v>
      </c>
      <c r="N20" s="5">
        <v>85711819</v>
      </c>
      <c r="O20" s="5">
        <v>206334298.71233013</v>
      </c>
      <c r="P20" s="5">
        <v>0</v>
      </c>
      <c r="Q20" s="5">
        <v>0</v>
      </c>
      <c r="R20" s="5">
        <v>115966</v>
      </c>
      <c r="S20" s="5">
        <v>527607.98994</v>
      </c>
      <c r="T20" s="5">
        <v>23241809</v>
      </c>
      <c r="U20" s="5">
        <v>61509740.445050001</v>
      </c>
      <c r="V20" s="5">
        <v>5827940</v>
      </c>
      <c r="W20" s="5">
        <v>20111853.312770002</v>
      </c>
      <c r="X20" s="5">
        <v>428</v>
      </c>
      <c r="Y20" s="5">
        <v>5538.4024400000008</v>
      </c>
      <c r="Z20" s="5">
        <v>134736623</v>
      </c>
      <c r="AA20" s="5">
        <v>774157608.27067995</v>
      </c>
      <c r="AB20" s="5">
        <v>3807</v>
      </c>
      <c r="AC20" s="5">
        <v>2948.3926499999998</v>
      </c>
    </row>
    <row r="21" spans="2:29">
      <c r="B21" s="37">
        <v>11</v>
      </c>
      <c r="C21" s="3" t="s">
        <v>38</v>
      </c>
      <c r="D21" s="4">
        <v>2422</v>
      </c>
      <c r="E21" s="4">
        <v>216</v>
      </c>
      <c r="F21" s="4">
        <v>4390</v>
      </c>
      <c r="G21" s="4">
        <v>3568</v>
      </c>
      <c r="H21" s="4">
        <v>0</v>
      </c>
      <c r="I21" s="4">
        <v>1527419</v>
      </c>
      <c r="J21" s="4">
        <v>0</v>
      </c>
      <c r="K21" s="4">
        <v>14945643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637194</v>
      </c>
      <c r="U21" s="5">
        <v>1646750.12943</v>
      </c>
      <c r="V21" s="5">
        <v>154143</v>
      </c>
      <c r="W21" s="5">
        <v>485224.94773000001</v>
      </c>
      <c r="X21" s="5">
        <v>671</v>
      </c>
      <c r="Y21" s="5">
        <v>12548.977829999998</v>
      </c>
      <c r="Z21" s="5">
        <v>5494599</v>
      </c>
      <c r="AA21" s="5">
        <v>27270667.711319998</v>
      </c>
      <c r="AB21" s="5">
        <v>0</v>
      </c>
      <c r="AC21" s="5">
        <v>0</v>
      </c>
    </row>
    <row r="22" spans="2:29">
      <c r="B22" s="37">
        <v>12</v>
      </c>
      <c r="C22" s="3" t="s">
        <v>39</v>
      </c>
      <c r="D22" s="4">
        <v>8044</v>
      </c>
      <c r="E22" s="4">
        <v>771</v>
      </c>
      <c r="F22" s="4">
        <v>40585</v>
      </c>
      <c r="G22" s="4">
        <v>8759</v>
      </c>
      <c r="H22" s="4">
        <v>493994</v>
      </c>
      <c r="I22" s="4">
        <v>300537</v>
      </c>
      <c r="J22" s="4">
        <v>504514</v>
      </c>
      <c r="K22" s="4">
        <v>58087155</v>
      </c>
      <c r="L22" s="5">
        <v>472803</v>
      </c>
      <c r="M22" s="5">
        <v>2211903.2753499998</v>
      </c>
      <c r="N22" s="5">
        <v>2569267</v>
      </c>
      <c r="O22" s="5">
        <v>3920801.4034100003</v>
      </c>
      <c r="P22" s="5">
        <v>0</v>
      </c>
      <c r="Q22" s="5">
        <v>0</v>
      </c>
      <c r="R22" s="5">
        <v>8555</v>
      </c>
      <c r="S22" s="5">
        <v>43669.899159999994</v>
      </c>
      <c r="T22" s="5">
        <v>3102029</v>
      </c>
      <c r="U22" s="5">
        <v>7540942.7960099988</v>
      </c>
      <c r="V22" s="5">
        <v>652086</v>
      </c>
      <c r="W22" s="5">
        <v>2082568.2079100006</v>
      </c>
      <c r="X22" s="5">
        <v>1570</v>
      </c>
      <c r="Y22" s="5">
        <v>6280.8812199999993</v>
      </c>
      <c r="Z22" s="5">
        <v>36625644</v>
      </c>
      <c r="AA22" s="5">
        <v>113104897.35953</v>
      </c>
      <c r="AB22" s="5">
        <v>4</v>
      </c>
      <c r="AC22" s="5">
        <v>4.0999999999999996</v>
      </c>
    </row>
    <row r="23" spans="2:29">
      <c r="B23" s="8" t="s">
        <v>40</v>
      </c>
      <c r="C23" s="25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>
      <c r="B24" s="37">
        <v>13</v>
      </c>
      <c r="C24" s="3" t="s">
        <v>41</v>
      </c>
      <c r="D24" s="4">
        <v>6944</v>
      </c>
      <c r="E24" s="4">
        <v>5589</v>
      </c>
      <c r="F24" s="4">
        <v>2735194</v>
      </c>
      <c r="G24" s="4">
        <v>1048</v>
      </c>
      <c r="H24" s="4">
        <v>455111</v>
      </c>
      <c r="I24" s="4">
        <v>193713400</v>
      </c>
      <c r="J24" s="4">
        <v>16553348</v>
      </c>
      <c r="K24" s="4">
        <v>46805451</v>
      </c>
      <c r="L24" s="5">
        <v>54847791</v>
      </c>
      <c r="M24" s="5">
        <v>120505053.96908</v>
      </c>
      <c r="N24" s="5">
        <v>28109142</v>
      </c>
      <c r="O24" s="5">
        <v>110981703.78408</v>
      </c>
      <c r="P24" s="5">
        <v>0</v>
      </c>
      <c r="Q24" s="5">
        <v>0</v>
      </c>
      <c r="R24" s="5">
        <v>58013</v>
      </c>
      <c r="S24" s="5">
        <v>332096.8</v>
      </c>
      <c r="T24" s="5">
        <v>2840485</v>
      </c>
      <c r="U24" s="5">
        <v>11638051.218960036</v>
      </c>
      <c r="V24" s="5">
        <v>1626963</v>
      </c>
      <c r="W24" s="5">
        <v>14388242.129910046</v>
      </c>
      <c r="X24" s="5">
        <v>8027</v>
      </c>
      <c r="Y24" s="5">
        <v>208290.91500000001</v>
      </c>
      <c r="Z24" s="5">
        <v>12735918</v>
      </c>
      <c r="AA24" s="5">
        <v>91070472.758000001</v>
      </c>
      <c r="AB24" s="5">
        <v>0</v>
      </c>
      <c r="AC24" s="5">
        <v>0</v>
      </c>
    </row>
    <row r="25" spans="2:29">
      <c r="B25" s="37">
        <v>14</v>
      </c>
      <c r="C25" s="3" t="s">
        <v>42</v>
      </c>
      <c r="D25" s="4">
        <v>431</v>
      </c>
      <c r="E25" s="4">
        <v>7</v>
      </c>
      <c r="F25" s="4">
        <v>75987</v>
      </c>
      <c r="G25" s="4">
        <v>0</v>
      </c>
      <c r="H25" s="4">
        <v>59457</v>
      </c>
      <c r="I25" s="4">
        <v>0</v>
      </c>
      <c r="J25" s="4">
        <v>31416</v>
      </c>
      <c r="K25" s="4">
        <v>6543414</v>
      </c>
      <c r="L25" s="5">
        <v>98200</v>
      </c>
      <c r="M25" s="5">
        <v>152458.62337999971</v>
      </c>
      <c r="N25" s="5">
        <v>9598</v>
      </c>
      <c r="O25" s="5">
        <v>67973.550069999837</v>
      </c>
      <c r="P25" s="5">
        <v>0</v>
      </c>
      <c r="Q25" s="5">
        <v>0</v>
      </c>
      <c r="R25" s="5">
        <v>221</v>
      </c>
      <c r="S25" s="5">
        <v>1018.2</v>
      </c>
      <c r="T25" s="5">
        <v>149178</v>
      </c>
      <c r="U25" s="5">
        <v>585736.98966999992</v>
      </c>
      <c r="V25" s="5">
        <v>42126</v>
      </c>
      <c r="W25" s="5">
        <v>261403.94341000001</v>
      </c>
      <c r="X25" s="5">
        <v>0</v>
      </c>
      <c r="Y25" s="5">
        <v>0</v>
      </c>
      <c r="Z25" s="5">
        <v>1641834</v>
      </c>
      <c r="AA25" s="5">
        <v>10125595.293</v>
      </c>
      <c r="AB25" s="5">
        <v>0</v>
      </c>
      <c r="AC25" s="5">
        <v>0</v>
      </c>
    </row>
    <row r="26" spans="2:29">
      <c r="B26" s="37">
        <v>15</v>
      </c>
      <c r="C26" s="3" t="s">
        <v>43</v>
      </c>
      <c r="D26" s="4">
        <v>1332</v>
      </c>
      <c r="E26" s="4">
        <v>458</v>
      </c>
      <c r="F26" s="4">
        <v>6416</v>
      </c>
      <c r="G26" s="4">
        <v>24994</v>
      </c>
      <c r="H26" s="4">
        <v>0</v>
      </c>
      <c r="I26" s="4">
        <v>75130</v>
      </c>
      <c r="J26" s="4">
        <v>64768</v>
      </c>
      <c r="K26" s="4">
        <v>3446889</v>
      </c>
      <c r="L26" s="5">
        <v>55163</v>
      </c>
      <c r="M26" s="5">
        <v>323973.98884000082</v>
      </c>
      <c r="N26" s="5">
        <v>33968</v>
      </c>
      <c r="O26" s="5">
        <v>355518.84730000031</v>
      </c>
      <c r="P26" s="5">
        <v>0</v>
      </c>
      <c r="Q26" s="5">
        <v>0</v>
      </c>
      <c r="R26" s="5">
        <v>272</v>
      </c>
      <c r="S26" s="5">
        <v>1978.5</v>
      </c>
      <c r="T26" s="5">
        <v>322009</v>
      </c>
      <c r="U26" s="5">
        <v>1088345.67246</v>
      </c>
      <c r="V26" s="5">
        <v>26936</v>
      </c>
      <c r="W26" s="5">
        <v>92409.252379999991</v>
      </c>
      <c r="X26" s="5">
        <v>0</v>
      </c>
      <c r="Y26" s="5">
        <v>0</v>
      </c>
      <c r="Z26" s="5">
        <v>1857582</v>
      </c>
      <c r="AA26" s="5">
        <v>12011777.12624</v>
      </c>
      <c r="AB26" s="5">
        <v>0</v>
      </c>
      <c r="AC26" s="5">
        <v>0</v>
      </c>
    </row>
    <row r="27" spans="2:29">
      <c r="B27" s="37">
        <v>16</v>
      </c>
      <c r="C27" s="3" t="s">
        <v>44</v>
      </c>
      <c r="D27" s="4">
        <v>808</v>
      </c>
      <c r="E27" s="4">
        <v>36</v>
      </c>
      <c r="F27" s="4">
        <v>0</v>
      </c>
      <c r="G27" s="4">
        <v>0</v>
      </c>
      <c r="H27" s="4">
        <v>19786</v>
      </c>
      <c r="I27" s="4">
        <v>0</v>
      </c>
      <c r="J27" s="4">
        <v>187644</v>
      </c>
      <c r="K27" s="4">
        <v>915032</v>
      </c>
      <c r="L27" s="5">
        <v>166819</v>
      </c>
      <c r="M27" s="5">
        <v>532944.16108999995</v>
      </c>
      <c r="N27" s="5">
        <v>1920814</v>
      </c>
      <c r="O27" s="5">
        <v>1707312.04375</v>
      </c>
      <c r="P27" s="5">
        <v>0</v>
      </c>
      <c r="Q27" s="5">
        <v>0</v>
      </c>
      <c r="R27" s="5">
        <v>0</v>
      </c>
      <c r="S27" s="5">
        <v>0</v>
      </c>
      <c r="T27" s="5">
        <v>84075</v>
      </c>
      <c r="U27" s="5">
        <v>248856.44271999999</v>
      </c>
      <c r="V27" s="5">
        <v>7012</v>
      </c>
      <c r="W27" s="5">
        <v>51614.164469999996</v>
      </c>
      <c r="X27" s="5">
        <v>0</v>
      </c>
      <c r="Y27" s="5">
        <v>0</v>
      </c>
      <c r="Z27" s="5">
        <v>315788</v>
      </c>
      <c r="AA27" s="5">
        <v>1839753.5</v>
      </c>
      <c r="AB27" s="5">
        <v>0</v>
      </c>
      <c r="AC27" s="5">
        <v>0</v>
      </c>
    </row>
    <row r="28" spans="2:29">
      <c r="B28" s="37">
        <v>17</v>
      </c>
      <c r="C28" s="3" t="s">
        <v>45</v>
      </c>
      <c r="D28" s="4">
        <v>448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45750</v>
      </c>
      <c r="K28" s="4">
        <v>1564716</v>
      </c>
      <c r="L28" s="5">
        <v>8299</v>
      </c>
      <c r="M28" s="5">
        <v>30764.402830000028</v>
      </c>
      <c r="N28" s="5">
        <v>24485</v>
      </c>
      <c r="O28" s="5">
        <v>80499.194850000087</v>
      </c>
      <c r="P28" s="5">
        <v>146951</v>
      </c>
      <c r="Q28" s="5">
        <v>68452.3436699999</v>
      </c>
      <c r="R28" s="5">
        <v>425</v>
      </c>
      <c r="S28" s="5">
        <v>2894.9</v>
      </c>
      <c r="T28" s="5">
        <v>70933</v>
      </c>
      <c r="U28" s="5">
        <v>240401.45675000001</v>
      </c>
      <c r="V28" s="5">
        <v>76565</v>
      </c>
      <c r="W28" s="5">
        <v>308579.06866000005</v>
      </c>
      <c r="X28" s="5">
        <v>187</v>
      </c>
      <c r="Y28" s="5">
        <v>6542.7939999999999</v>
      </c>
      <c r="Z28" s="5">
        <v>227225</v>
      </c>
      <c r="AA28" s="5">
        <v>1643024.879</v>
      </c>
      <c r="AB28" s="5">
        <v>0</v>
      </c>
      <c r="AC28" s="5">
        <v>0</v>
      </c>
    </row>
    <row r="29" spans="2:29">
      <c r="B29" s="37">
        <v>18</v>
      </c>
      <c r="C29" s="3" t="s">
        <v>46</v>
      </c>
      <c r="D29" s="4">
        <v>247</v>
      </c>
      <c r="E29" s="4">
        <v>37</v>
      </c>
      <c r="F29" s="4">
        <v>1539</v>
      </c>
      <c r="G29" s="4">
        <v>0</v>
      </c>
      <c r="H29" s="4">
        <v>0</v>
      </c>
      <c r="I29" s="4">
        <v>21254</v>
      </c>
      <c r="J29" s="4">
        <v>13203</v>
      </c>
      <c r="K29" s="4">
        <v>677849</v>
      </c>
      <c r="L29" s="5">
        <v>18652</v>
      </c>
      <c r="M29" s="5">
        <v>48473.319880000003</v>
      </c>
      <c r="N29" s="5">
        <v>6535</v>
      </c>
      <c r="O29" s="5">
        <v>25566.860129999997</v>
      </c>
      <c r="P29" s="5">
        <v>0</v>
      </c>
      <c r="Q29" s="5">
        <v>0</v>
      </c>
      <c r="R29" s="5">
        <v>214</v>
      </c>
      <c r="S29" s="5">
        <v>792.4</v>
      </c>
      <c r="T29" s="5">
        <v>93992</v>
      </c>
      <c r="U29" s="5">
        <v>223509.54056999998</v>
      </c>
      <c r="V29" s="5">
        <v>2455</v>
      </c>
      <c r="W29" s="5">
        <v>7177.5977099999991</v>
      </c>
      <c r="X29" s="5">
        <v>0</v>
      </c>
      <c r="Y29" s="5">
        <v>0</v>
      </c>
      <c r="Z29" s="5">
        <v>350296</v>
      </c>
      <c r="AA29" s="5">
        <v>1669116.9956799999</v>
      </c>
      <c r="AB29" s="5">
        <v>0</v>
      </c>
      <c r="AC29" s="5">
        <v>0</v>
      </c>
    </row>
    <row r="30" spans="2:29">
      <c r="B30" s="37">
        <v>19</v>
      </c>
      <c r="C30" s="3" t="s">
        <v>47</v>
      </c>
      <c r="D30" s="4">
        <v>1858</v>
      </c>
      <c r="E30" s="4">
        <v>287</v>
      </c>
      <c r="F30" s="4">
        <v>28439</v>
      </c>
      <c r="G30" s="4">
        <v>3753</v>
      </c>
      <c r="H30" s="4">
        <v>0</v>
      </c>
      <c r="I30" s="4">
        <v>6468345</v>
      </c>
      <c r="J30" s="4">
        <v>2818328</v>
      </c>
      <c r="K30" s="4">
        <v>13540259</v>
      </c>
      <c r="L30" s="5">
        <v>4573062</v>
      </c>
      <c r="M30" s="5">
        <v>11665723.426179999</v>
      </c>
      <c r="N30" s="5">
        <v>8202176</v>
      </c>
      <c r="O30" s="5">
        <v>16795949.364750002</v>
      </c>
      <c r="P30" s="5">
        <v>0</v>
      </c>
      <c r="Q30" s="5">
        <v>0</v>
      </c>
      <c r="R30" s="5">
        <v>6215</v>
      </c>
      <c r="S30" s="5">
        <v>30628.156269999999</v>
      </c>
      <c r="T30" s="5">
        <v>1991187</v>
      </c>
      <c r="U30" s="5">
        <v>6754799.1016099993</v>
      </c>
      <c r="V30" s="5">
        <v>887254</v>
      </c>
      <c r="W30" s="5">
        <v>4287360.5973300003</v>
      </c>
      <c r="X30" s="5">
        <v>3028</v>
      </c>
      <c r="Y30" s="5">
        <v>44724.280399999996</v>
      </c>
      <c r="Z30" s="5">
        <v>6043382</v>
      </c>
      <c r="AA30" s="5">
        <v>35448666.93</v>
      </c>
      <c r="AB30" s="5">
        <v>0</v>
      </c>
      <c r="AC30" s="5">
        <v>0</v>
      </c>
    </row>
    <row r="31" spans="2:29">
      <c r="B31" s="37">
        <v>20</v>
      </c>
      <c r="C31" s="3" t="s">
        <v>48</v>
      </c>
      <c r="D31" s="4">
        <v>13159</v>
      </c>
      <c r="E31" s="4">
        <v>7722</v>
      </c>
      <c r="F31" s="4">
        <v>1996488</v>
      </c>
      <c r="G31" s="4">
        <v>1532</v>
      </c>
      <c r="H31" s="4">
        <v>2288156</v>
      </c>
      <c r="I31" s="4">
        <v>1246041</v>
      </c>
      <c r="J31" s="4">
        <v>27379937</v>
      </c>
      <c r="K31" s="4">
        <v>64756731</v>
      </c>
      <c r="L31" s="5">
        <v>107530388</v>
      </c>
      <c r="M31" s="5">
        <v>206312783.65133002</v>
      </c>
      <c r="N31" s="5">
        <v>41740495</v>
      </c>
      <c r="O31" s="5">
        <v>445084453.68053997</v>
      </c>
      <c r="P31" s="5">
        <v>0</v>
      </c>
      <c r="Q31" s="5">
        <v>0</v>
      </c>
      <c r="R31" s="5">
        <v>159583</v>
      </c>
      <c r="S31" s="5">
        <v>1107030.12931</v>
      </c>
      <c r="T31" s="5">
        <v>6131861</v>
      </c>
      <c r="U31" s="5">
        <v>29140432.865680002</v>
      </c>
      <c r="V31" s="5">
        <v>5694942</v>
      </c>
      <c r="W31" s="5">
        <v>37511205.255630001</v>
      </c>
      <c r="X31" s="5">
        <v>47666</v>
      </c>
      <c r="Y31" s="5">
        <v>1840433.2053300003</v>
      </c>
      <c r="Z31" s="5">
        <v>25736264</v>
      </c>
      <c r="AA31" s="5">
        <v>193198856.33700001</v>
      </c>
      <c r="AB31" s="5">
        <v>4</v>
      </c>
      <c r="AC31" s="5">
        <v>2.5</v>
      </c>
    </row>
    <row r="32" spans="2:29">
      <c r="B32" s="37">
        <v>21</v>
      </c>
      <c r="C32" s="3" t="s">
        <v>49</v>
      </c>
      <c r="D32" s="4">
        <v>9752</v>
      </c>
      <c r="E32" s="4">
        <v>2389</v>
      </c>
      <c r="F32" s="4">
        <v>187171</v>
      </c>
      <c r="G32" s="4">
        <v>7044</v>
      </c>
      <c r="H32" s="4">
        <v>0</v>
      </c>
      <c r="I32" s="4">
        <v>3900442</v>
      </c>
      <c r="J32" s="4">
        <v>19862886</v>
      </c>
      <c r="K32" s="4">
        <v>32102785</v>
      </c>
      <c r="L32" s="5">
        <v>15548592</v>
      </c>
      <c r="M32" s="5">
        <v>88655227.933270082</v>
      </c>
      <c r="N32" s="5">
        <v>82533722</v>
      </c>
      <c r="O32" s="5">
        <v>220459589.79662898</v>
      </c>
      <c r="P32" s="5">
        <v>66</v>
      </c>
      <c r="Q32" s="5">
        <v>6640.2</v>
      </c>
      <c r="R32" s="5">
        <v>41618</v>
      </c>
      <c r="S32" s="5">
        <v>214198.68</v>
      </c>
      <c r="T32" s="5">
        <v>3294511</v>
      </c>
      <c r="U32" s="5">
        <v>17630888.698249828</v>
      </c>
      <c r="V32" s="5">
        <v>3004216</v>
      </c>
      <c r="W32" s="5">
        <v>21640484.43271992</v>
      </c>
      <c r="X32" s="5">
        <v>2277</v>
      </c>
      <c r="Y32" s="5">
        <v>58969.93</v>
      </c>
      <c r="Z32" s="5">
        <v>9918492</v>
      </c>
      <c r="AA32" s="5">
        <v>87702608.633000001</v>
      </c>
      <c r="AB32" s="5">
        <v>0</v>
      </c>
      <c r="AC32" s="5">
        <v>0</v>
      </c>
    </row>
    <row r="33" spans="2:29">
      <c r="B33" s="37">
        <v>22</v>
      </c>
      <c r="C33" s="3" t="s">
        <v>50</v>
      </c>
      <c r="D33" s="4">
        <v>2501</v>
      </c>
      <c r="E33" s="4">
        <v>567</v>
      </c>
      <c r="F33" s="4">
        <v>13205</v>
      </c>
      <c r="G33" s="4">
        <v>2890</v>
      </c>
      <c r="H33" s="4">
        <v>0</v>
      </c>
      <c r="I33" s="4">
        <v>707456</v>
      </c>
      <c r="J33" s="4">
        <v>53016</v>
      </c>
      <c r="K33" s="4">
        <v>11358803</v>
      </c>
      <c r="L33" s="5">
        <v>74703</v>
      </c>
      <c r="M33" s="5">
        <v>366557.09289999999</v>
      </c>
      <c r="N33" s="5">
        <v>94476</v>
      </c>
      <c r="O33" s="5">
        <v>356981.98089999997</v>
      </c>
      <c r="P33" s="5">
        <v>0</v>
      </c>
      <c r="Q33" s="5">
        <v>0</v>
      </c>
      <c r="R33" s="5">
        <v>495</v>
      </c>
      <c r="S33" s="5">
        <v>2936.73747</v>
      </c>
      <c r="T33" s="5">
        <v>680367</v>
      </c>
      <c r="U33" s="5">
        <v>1803346.8159900082</v>
      </c>
      <c r="V33" s="5">
        <v>120745</v>
      </c>
      <c r="W33" s="5">
        <v>457428.38799998903</v>
      </c>
      <c r="X33" s="5">
        <v>0</v>
      </c>
      <c r="Y33" s="5">
        <v>0</v>
      </c>
      <c r="Z33" s="5">
        <v>3599861</v>
      </c>
      <c r="AA33" s="5">
        <v>20154444.6547</v>
      </c>
      <c r="AB33" s="5">
        <v>117</v>
      </c>
      <c r="AC33" s="5">
        <v>54.152690000000007</v>
      </c>
    </row>
    <row r="34" spans="2:29">
      <c r="B34" s="37">
        <v>23</v>
      </c>
      <c r="C34" s="3" t="s">
        <v>51</v>
      </c>
      <c r="D34" s="4">
        <v>1084</v>
      </c>
      <c r="E34" s="4">
        <v>159</v>
      </c>
      <c r="F34" s="4">
        <v>25589</v>
      </c>
      <c r="G34" s="4">
        <v>6361</v>
      </c>
      <c r="H34" s="4">
        <v>0</v>
      </c>
      <c r="I34" s="4">
        <v>302340</v>
      </c>
      <c r="J34" s="4">
        <v>5009549</v>
      </c>
      <c r="K34" s="4">
        <v>7250934</v>
      </c>
      <c r="L34" s="5">
        <v>18387718</v>
      </c>
      <c r="M34" s="5">
        <v>29132260.379000001</v>
      </c>
      <c r="N34" s="5">
        <v>3091716</v>
      </c>
      <c r="O34" s="5">
        <v>17641723.721999999</v>
      </c>
      <c r="P34" s="5">
        <v>0</v>
      </c>
      <c r="Q34" s="5">
        <v>0</v>
      </c>
      <c r="R34" s="5">
        <v>23721</v>
      </c>
      <c r="S34" s="5">
        <v>132663.4</v>
      </c>
      <c r="T34" s="5">
        <v>490001</v>
      </c>
      <c r="U34" s="5">
        <v>1939399.0601700002</v>
      </c>
      <c r="V34" s="5">
        <v>451975</v>
      </c>
      <c r="W34" s="5">
        <v>2885892.2013699999</v>
      </c>
      <c r="X34" s="5">
        <v>0</v>
      </c>
      <c r="Y34" s="5">
        <v>0</v>
      </c>
      <c r="Z34" s="5">
        <v>2601092</v>
      </c>
      <c r="AA34" s="5">
        <v>16310978.822000001</v>
      </c>
      <c r="AB34" s="5">
        <v>0</v>
      </c>
      <c r="AC34" s="5">
        <v>0</v>
      </c>
    </row>
    <row r="35" spans="2:29">
      <c r="B35" s="37">
        <v>24</v>
      </c>
      <c r="C35" s="3" t="s">
        <v>52</v>
      </c>
      <c r="D35" s="4">
        <v>2149</v>
      </c>
      <c r="E35" s="4">
        <v>624</v>
      </c>
      <c r="F35" s="4">
        <v>92720</v>
      </c>
      <c r="G35" s="4">
        <v>0</v>
      </c>
      <c r="H35" s="4">
        <v>12118</v>
      </c>
      <c r="I35" s="4">
        <v>7282827</v>
      </c>
      <c r="J35" s="4">
        <v>2974248</v>
      </c>
      <c r="K35" s="4">
        <v>12182888</v>
      </c>
      <c r="L35" s="5">
        <v>2264470</v>
      </c>
      <c r="M35" s="5">
        <v>16768697.739</v>
      </c>
      <c r="N35" s="5">
        <v>10607301</v>
      </c>
      <c r="O35" s="5">
        <v>31118014.530000001</v>
      </c>
      <c r="P35" s="5">
        <v>0</v>
      </c>
      <c r="Q35" s="5">
        <v>0</v>
      </c>
      <c r="R35" s="5">
        <v>13441</v>
      </c>
      <c r="S35" s="5">
        <v>73927.380999999994</v>
      </c>
      <c r="T35" s="5">
        <v>404609</v>
      </c>
      <c r="U35" s="5">
        <v>1571920.8710700001</v>
      </c>
      <c r="V35" s="5">
        <v>434545</v>
      </c>
      <c r="W35" s="5">
        <v>1934625.6154699998</v>
      </c>
      <c r="X35" s="5">
        <v>706</v>
      </c>
      <c r="Y35" s="5">
        <v>60309.868000000002</v>
      </c>
      <c r="Z35" s="5">
        <v>5163198</v>
      </c>
      <c r="AA35" s="5">
        <v>16280096.965119999</v>
      </c>
      <c r="AB35" s="5">
        <v>0</v>
      </c>
      <c r="AC35" s="5">
        <v>0</v>
      </c>
    </row>
    <row r="36" spans="2:29">
      <c r="B36" s="37">
        <v>25</v>
      </c>
      <c r="C36" s="3" t="s">
        <v>53</v>
      </c>
      <c r="D36" s="4">
        <v>979</v>
      </c>
      <c r="E36" s="4">
        <v>645</v>
      </c>
      <c r="F36" s="4">
        <v>14134</v>
      </c>
      <c r="G36" s="4">
        <v>1455</v>
      </c>
      <c r="H36" s="4">
        <v>0</v>
      </c>
      <c r="I36" s="4">
        <v>713800</v>
      </c>
      <c r="J36" s="4">
        <v>182035</v>
      </c>
      <c r="K36" s="4">
        <v>5398406</v>
      </c>
      <c r="L36" s="5">
        <v>481017</v>
      </c>
      <c r="M36" s="5">
        <v>1928898.8493200003</v>
      </c>
      <c r="N36" s="5">
        <v>79671</v>
      </c>
      <c r="O36" s="5">
        <v>367709.01344999997</v>
      </c>
      <c r="P36" s="5">
        <v>0</v>
      </c>
      <c r="Q36" s="5">
        <v>0</v>
      </c>
      <c r="R36" s="5">
        <v>9776</v>
      </c>
      <c r="S36" s="5">
        <v>47396.381230000006</v>
      </c>
      <c r="T36" s="5">
        <v>544856</v>
      </c>
      <c r="U36" s="5">
        <v>1331715.8991700001</v>
      </c>
      <c r="V36" s="5">
        <v>289426</v>
      </c>
      <c r="W36" s="5">
        <v>339216.88274999999</v>
      </c>
      <c r="X36" s="5">
        <v>0</v>
      </c>
      <c r="Y36" s="5">
        <v>0</v>
      </c>
      <c r="Z36" s="5">
        <v>4273811</v>
      </c>
      <c r="AA36" s="5">
        <v>24910706.853</v>
      </c>
      <c r="AB36" s="5">
        <v>0</v>
      </c>
      <c r="AC36" s="5">
        <v>0</v>
      </c>
    </row>
    <row r="37" spans="2:29">
      <c r="B37" s="37">
        <v>26</v>
      </c>
      <c r="C37" s="3" t="s">
        <v>54</v>
      </c>
      <c r="D37" s="4">
        <v>978</v>
      </c>
      <c r="E37" s="4">
        <v>482</v>
      </c>
      <c r="F37" s="4">
        <v>9281</v>
      </c>
      <c r="G37" s="4">
        <v>0</v>
      </c>
      <c r="H37" s="4">
        <v>0</v>
      </c>
      <c r="I37" s="4">
        <v>153804</v>
      </c>
      <c r="J37" s="4">
        <v>0</v>
      </c>
      <c r="K37" s="4">
        <v>5524985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493469</v>
      </c>
      <c r="U37" s="5">
        <v>1057598.3060000001</v>
      </c>
      <c r="V37" s="5">
        <v>55164</v>
      </c>
      <c r="W37" s="5">
        <v>167063.18799999999</v>
      </c>
      <c r="X37" s="5">
        <v>0</v>
      </c>
      <c r="Y37" s="5">
        <v>0</v>
      </c>
      <c r="Z37" s="5">
        <v>2965176</v>
      </c>
      <c r="AA37" s="5">
        <v>15264594.720000001</v>
      </c>
      <c r="AB37" s="5">
        <v>0</v>
      </c>
      <c r="AC37" s="5">
        <v>0</v>
      </c>
    </row>
    <row r="38" spans="2:29">
      <c r="B38" s="37">
        <v>27</v>
      </c>
      <c r="C38" s="3" t="s">
        <v>55</v>
      </c>
      <c r="D38" s="4">
        <v>1620</v>
      </c>
      <c r="E38" s="4">
        <v>572</v>
      </c>
      <c r="F38" s="4">
        <v>5336</v>
      </c>
      <c r="G38" s="4">
        <v>162</v>
      </c>
      <c r="H38" s="4">
        <v>47249</v>
      </c>
      <c r="I38" s="4">
        <v>7575</v>
      </c>
      <c r="J38" s="4">
        <v>8547</v>
      </c>
      <c r="K38" s="4">
        <v>5065384</v>
      </c>
      <c r="L38" s="5">
        <v>18748</v>
      </c>
      <c r="M38" s="5">
        <v>141907.94957</v>
      </c>
      <c r="N38" s="5">
        <v>8117</v>
      </c>
      <c r="O38" s="5">
        <v>121207.47610000001</v>
      </c>
      <c r="P38" s="5">
        <v>0</v>
      </c>
      <c r="Q38" s="5">
        <v>0</v>
      </c>
      <c r="R38" s="5">
        <v>401</v>
      </c>
      <c r="S38" s="5">
        <v>3160</v>
      </c>
      <c r="T38" s="5">
        <v>595095</v>
      </c>
      <c r="U38" s="5">
        <v>1680385.3381799967</v>
      </c>
      <c r="V38" s="5">
        <v>71444</v>
      </c>
      <c r="W38" s="5">
        <v>388676.08349999989</v>
      </c>
      <c r="X38" s="5">
        <v>0</v>
      </c>
      <c r="Y38" s="5">
        <v>0</v>
      </c>
      <c r="Z38" s="5">
        <v>2999174</v>
      </c>
      <c r="AA38" s="5">
        <v>16641206.860029999</v>
      </c>
      <c r="AB38" s="5">
        <v>0</v>
      </c>
      <c r="AC38" s="5">
        <v>0</v>
      </c>
    </row>
    <row r="39" spans="2:29">
      <c r="B39" s="37">
        <v>28</v>
      </c>
      <c r="C39" s="3" t="s">
        <v>56</v>
      </c>
      <c r="D39" s="4">
        <v>2068</v>
      </c>
      <c r="E39" s="4">
        <v>605</v>
      </c>
      <c r="F39" s="4">
        <v>76102</v>
      </c>
      <c r="G39" s="4">
        <v>0</v>
      </c>
      <c r="H39" s="4">
        <v>198097</v>
      </c>
      <c r="I39" s="4">
        <v>715097</v>
      </c>
      <c r="J39" s="4">
        <v>4886687</v>
      </c>
      <c r="K39" s="4">
        <v>37350395</v>
      </c>
      <c r="L39" s="5">
        <v>19438782</v>
      </c>
      <c r="M39" s="5">
        <v>33483396.138980001</v>
      </c>
      <c r="N39" s="5">
        <v>4371540</v>
      </c>
      <c r="O39" s="5">
        <v>33868784.923479997</v>
      </c>
      <c r="P39" s="5">
        <v>0</v>
      </c>
      <c r="Q39" s="5">
        <v>0</v>
      </c>
      <c r="R39" s="5">
        <v>31296</v>
      </c>
      <c r="S39" s="5">
        <v>182215.89767999999</v>
      </c>
      <c r="T39" s="5">
        <v>1743165</v>
      </c>
      <c r="U39" s="5">
        <v>4684885.7970000003</v>
      </c>
      <c r="V39" s="5">
        <v>2578689</v>
      </c>
      <c r="W39" s="5">
        <v>8302757.8289999999</v>
      </c>
      <c r="X39" s="5">
        <v>0</v>
      </c>
      <c r="Y39" s="5">
        <v>0</v>
      </c>
      <c r="Z39" s="5">
        <v>7775231</v>
      </c>
      <c r="AA39" s="5">
        <v>47112253.382769987</v>
      </c>
      <c r="AB39" s="5">
        <v>0</v>
      </c>
      <c r="AC39" s="5">
        <v>0</v>
      </c>
    </row>
    <row r="40" spans="2:29">
      <c r="B40" s="37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4965</v>
      </c>
      <c r="J40" s="4">
        <v>0</v>
      </c>
      <c r="K40" s="4">
        <v>169627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9752</v>
      </c>
      <c r="U40" s="5">
        <v>20778.080839999999</v>
      </c>
      <c r="V40" s="5">
        <v>2751</v>
      </c>
      <c r="W40" s="5">
        <v>8688.7270700000008</v>
      </c>
      <c r="X40" s="5">
        <v>0</v>
      </c>
      <c r="Y40" s="5">
        <v>0</v>
      </c>
      <c r="Z40" s="5">
        <v>55696</v>
      </c>
      <c r="AA40" s="5">
        <v>299360.03000000003</v>
      </c>
      <c r="AB40" s="5">
        <v>0</v>
      </c>
      <c r="AC40" s="5">
        <v>0</v>
      </c>
    </row>
    <row r="41" spans="2:29">
      <c r="B41" s="37">
        <v>30</v>
      </c>
      <c r="C41" s="3" t="s">
        <v>58</v>
      </c>
      <c r="D41" s="4">
        <v>397</v>
      </c>
      <c r="E41" s="4">
        <v>25</v>
      </c>
      <c r="F41" s="4">
        <v>2793885</v>
      </c>
      <c r="G41" s="4">
        <v>0</v>
      </c>
      <c r="H41" s="4">
        <v>1595</v>
      </c>
      <c r="I41" s="4">
        <v>50158</v>
      </c>
      <c r="J41" s="4">
        <v>4716637</v>
      </c>
      <c r="K41" s="4">
        <v>1605949</v>
      </c>
      <c r="L41" s="5">
        <v>4035051</v>
      </c>
      <c r="M41" s="5">
        <v>25124064.711139999</v>
      </c>
      <c r="N41" s="5">
        <v>7802982</v>
      </c>
      <c r="O41" s="5">
        <v>45047093.069710001</v>
      </c>
      <c r="P41" s="5">
        <v>0</v>
      </c>
      <c r="Q41" s="5">
        <v>0</v>
      </c>
      <c r="R41" s="5">
        <v>28934</v>
      </c>
      <c r="S41" s="5">
        <v>162100.96227000002</v>
      </c>
      <c r="T41" s="5">
        <v>87618</v>
      </c>
      <c r="U41" s="5">
        <v>344190.83308000001</v>
      </c>
      <c r="V41" s="5">
        <v>63374</v>
      </c>
      <c r="W41" s="5">
        <v>409636.04085000011</v>
      </c>
      <c r="X41" s="5">
        <v>30</v>
      </c>
      <c r="Y41" s="5">
        <v>1730.6</v>
      </c>
      <c r="Z41" s="5">
        <v>306794</v>
      </c>
      <c r="AA41" s="5">
        <v>1813362.8156600001</v>
      </c>
      <c r="AB41" s="5">
        <v>0</v>
      </c>
      <c r="AC41" s="5">
        <v>0</v>
      </c>
    </row>
    <row r="42" spans="2:29">
      <c r="B42" s="37">
        <v>31</v>
      </c>
      <c r="C42" s="3" t="s">
        <v>59</v>
      </c>
      <c r="D42" s="4">
        <v>927</v>
      </c>
      <c r="E42" s="4">
        <v>350</v>
      </c>
      <c r="F42" s="4">
        <v>14410</v>
      </c>
      <c r="G42" s="4">
        <v>0</v>
      </c>
      <c r="H42" s="4">
        <v>32081</v>
      </c>
      <c r="I42" s="4">
        <v>124958</v>
      </c>
      <c r="J42" s="4">
        <v>325421</v>
      </c>
      <c r="K42" s="4">
        <v>4225127</v>
      </c>
      <c r="L42" s="5">
        <v>369929</v>
      </c>
      <c r="M42" s="5">
        <v>1768270.469</v>
      </c>
      <c r="N42" s="5">
        <v>506743</v>
      </c>
      <c r="O42" s="5">
        <v>2279501.5180000002</v>
      </c>
      <c r="P42" s="5">
        <v>0</v>
      </c>
      <c r="Q42" s="5">
        <v>0</v>
      </c>
      <c r="R42" s="5">
        <v>0</v>
      </c>
      <c r="S42" s="5">
        <v>0</v>
      </c>
      <c r="T42" s="5">
        <v>694735</v>
      </c>
      <c r="U42" s="5">
        <v>2272374.4701799997</v>
      </c>
      <c r="V42" s="5">
        <v>139598</v>
      </c>
      <c r="W42" s="5">
        <v>896766.63766999997</v>
      </c>
      <c r="X42" s="5">
        <v>0</v>
      </c>
      <c r="Y42" s="5">
        <v>0</v>
      </c>
      <c r="Z42" s="5">
        <v>2197497</v>
      </c>
      <c r="AA42" s="5">
        <v>12217718.115</v>
      </c>
      <c r="AB42" s="5">
        <v>0</v>
      </c>
      <c r="AC42" s="5">
        <v>0</v>
      </c>
    </row>
    <row r="43" spans="2:29">
      <c r="B43" s="37">
        <v>32</v>
      </c>
      <c r="C43" s="3" t="s">
        <v>60</v>
      </c>
      <c r="D43" s="4">
        <v>484</v>
      </c>
      <c r="E43" s="4">
        <v>626</v>
      </c>
      <c r="F43" s="4">
        <v>324</v>
      </c>
      <c r="G43" s="4">
        <v>0</v>
      </c>
      <c r="H43" s="4">
        <v>0</v>
      </c>
      <c r="I43" s="4">
        <v>212622</v>
      </c>
      <c r="J43" s="4">
        <v>18621</v>
      </c>
      <c r="K43" s="4">
        <v>2720843</v>
      </c>
      <c r="L43" s="5">
        <v>34954</v>
      </c>
      <c r="M43" s="5">
        <v>170803.60331999999</v>
      </c>
      <c r="N43" s="5">
        <v>13969</v>
      </c>
      <c r="O43" s="5">
        <v>89868.673739999998</v>
      </c>
      <c r="P43" s="5">
        <v>0</v>
      </c>
      <c r="Q43" s="5">
        <v>0</v>
      </c>
      <c r="R43" s="5">
        <v>1473</v>
      </c>
      <c r="S43" s="5">
        <v>6620.7205000000004</v>
      </c>
      <c r="T43" s="5">
        <v>237568</v>
      </c>
      <c r="U43" s="5">
        <v>979266.36996000004</v>
      </c>
      <c r="V43" s="5">
        <v>23466</v>
      </c>
      <c r="W43" s="5">
        <v>182538.69237</v>
      </c>
      <c r="X43" s="5">
        <v>66</v>
      </c>
      <c r="Y43" s="5">
        <v>216.785</v>
      </c>
      <c r="Z43" s="5">
        <v>3624019</v>
      </c>
      <c r="AA43" s="5">
        <v>20726019.899999999</v>
      </c>
      <c r="AB43" s="5">
        <v>0</v>
      </c>
      <c r="AC43" s="5">
        <v>0</v>
      </c>
    </row>
    <row r="44" spans="2:29">
      <c r="B44" s="37">
        <v>33</v>
      </c>
      <c r="C44" s="3" t="s">
        <v>61</v>
      </c>
      <c r="D44" s="4">
        <v>1256</v>
      </c>
      <c r="E44" s="4">
        <v>113</v>
      </c>
      <c r="F44" s="4">
        <v>217427</v>
      </c>
      <c r="G44" s="4">
        <v>67879</v>
      </c>
      <c r="H44" s="4">
        <v>108768</v>
      </c>
      <c r="I44" s="4">
        <v>638007003</v>
      </c>
      <c r="J44" s="4">
        <v>3122138</v>
      </c>
      <c r="K44" s="4">
        <v>5336575</v>
      </c>
      <c r="L44" s="5">
        <v>17238990</v>
      </c>
      <c r="M44" s="5">
        <v>28196641.467470001</v>
      </c>
      <c r="N44" s="5">
        <v>2074033</v>
      </c>
      <c r="O44" s="5">
        <v>13335367.008920001</v>
      </c>
      <c r="P44" s="5">
        <v>0</v>
      </c>
      <c r="Q44" s="5">
        <v>0</v>
      </c>
      <c r="R44" s="5">
        <v>7642</v>
      </c>
      <c r="S44" s="5">
        <v>42137.9</v>
      </c>
      <c r="T44" s="5">
        <v>346061</v>
      </c>
      <c r="U44" s="5">
        <v>1382880.8946399952</v>
      </c>
      <c r="V44" s="5">
        <v>80807</v>
      </c>
      <c r="W44" s="5">
        <v>529199.68772999081</v>
      </c>
      <c r="X44" s="5">
        <v>10</v>
      </c>
      <c r="Y44" s="5">
        <v>166.59</v>
      </c>
      <c r="Z44" s="5">
        <v>1320223</v>
      </c>
      <c r="AA44" s="5">
        <v>8998723.4000000004</v>
      </c>
      <c r="AB44" s="5">
        <v>0</v>
      </c>
      <c r="AC44" s="5">
        <v>0</v>
      </c>
    </row>
    <row r="45" spans="2:29">
      <c r="B45" s="8" t="s">
        <v>62</v>
      </c>
      <c r="C45" s="25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>
      <c r="B46" s="37">
        <v>34</v>
      </c>
      <c r="C46" s="3" t="s">
        <v>63</v>
      </c>
      <c r="D46" s="4">
        <v>0</v>
      </c>
      <c r="E46" s="4">
        <v>0</v>
      </c>
      <c r="F46" s="4">
        <v>11079</v>
      </c>
      <c r="G46" s="4">
        <v>0</v>
      </c>
      <c r="H46" s="4">
        <v>0</v>
      </c>
      <c r="I46" s="4">
        <v>0</v>
      </c>
      <c r="J46" s="4">
        <v>1291873</v>
      </c>
      <c r="K46" s="4">
        <v>0</v>
      </c>
      <c r="L46" s="5">
        <v>1582977</v>
      </c>
      <c r="M46" s="5">
        <v>16159850.064999999</v>
      </c>
      <c r="N46" s="5">
        <v>4252564</v>
      </c>
      <c r="O46" s="5">
        <v>44821820.527000003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>
      <c r="B47" s="37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>
      <c r="B48" s="37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1601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459</v>
      </c>
      <c r="U48" s="5">
        <v>1246.998</v>
      </c>
      <c r="V48" s="5">
        <v>1391</v>
      </c>
      <c r="W48" s="5">
        <v>4977.2749999999996</v>
      </c>
      <c r="X48" s="5">
        <v>0</v>
      </c>
      <c r="Y48" s="5">
        <v>0</v>
      </c>
      <c r="Z48" s="5">
        <v>890</v>
      </c>
      <c r="AA48" s="5">
        <v>4458.6000000000004</v>
      </c>
      <c r="AB48" s="5">
        <v>0</v>
      </c>
      <c r="AC48" s="5">
        <v>0</v>
      </c>
    </row>
    <row r="49" spans="1:29">
      <c r="B49" s="37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431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139</v>
      </c>
      <c r="U49" s="5">
        <v>261.13204000000002</v>
      </c>
      <c r="V49" s="5">
        <v>0</v>
      </c>
      <c r="W49" s="5">
        <v>0</v>
      </c>
      <c r="X49" s="5">
        <v>0</v>
      </c>
      <c r="Y49" s="5">
        <v>0</v>
      </c>
      <c r="Z49" s="5">
        <v>553</v>
      </c>
      <c r="AA49" s="5">
        <v>5203.7</v>
      </c>
      <c r="AB49" s="5">
        <v>0</v>
      </c>
      <c r="AC49" s="5">
        <v>0</v>
      </c>
    </row>
    <row r="50" spans="1:29">
      <c r="B50" s="37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283748</v>
      </c>
      <c r="K50" s="4">
        <v>0</v>
      </c>
      <c r="L50" s="5">
        <v>179034</v>
      </c>
      <c r="M50" s="5">
        <v>1362414.9595800224</v>
      </c>
      <c r="N50" s="5">
        <v>378475</v>
      </c>
      <c r="O50" s="5">
        <v>4834906.4889707714</v>
      </c>
      <c r="P50" s="5">
        <v>0</v>
      </c>
      <c r="Q50" s="5">
        <v>0</v>
      </c>
      <c r="R50" s="5">
        <v>478</v>
      </c>
      <c r="S50" s="5">
        <v>4149.3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>
      <c r="B51" s="37">
        <v>39</v>
      </c>
      <c r="C51" s="3" t="s">
        <v>68</v>
      </c>
      <c r="D51" s="4">
        <v>386</v>
      </c>
      <c r="E51" s="4">
        <v>175</v>
      </c>
      <c r="F51" s="4">
        <v>654</v>
      </c>
      <c r="G51" s="4">
        <v>100</v>
      </c>
      <c r="H51" s="4">
        <v>0</v>
      </c>
      <c r="I51" s="4">
        <v>9684</v>
      </c>
      <c r="J51" s="4">
        <v>277882</v>
      </c>
      <c r="K51" s="4">
        <v>1568579</v>
      </c>
      <c r="L51" s="5">
        <v>290651</v>
      </c>
      <c r="M51" s="5">
        <v>1430407.78247</v>
      </c>
      <c r="N51" s="5">
        <v>244463</v>
      </c>
      <c r="O51" s="5">
        <v>1673521.3872700001</v>
      </c>
      <c r="P51" s="5">
        <v>0</v>
      </c>
      <c r="Q51" s="5">
        <v>0</v>
      </c>
      <c r="R51" s="5">
        <v>844</v>
      </c>
      <c r="S51" s="5">
        <v>2587.5</v>
      </c>
      <c r="T51" s="5">
        <v>108539</v>
      </c>
      <c r="U51" s="5">
        <v>282550.98245999875</v>
      </c>
      <c r="V51" s="5">
        <v>66778</v>
      </c>
      <c r="W51" s="5">
        <v>213316.1326800001</v>
      </c>
      <c r="X51" s="5">
        <v>0</v>
      </c>
      <c r="Y51" s="5">
        <v>0</v>
      </c>
      <c r="Z51" s="5">
        <v>522892</v>
      </c>
      <c r="AA51" s="5">
        <v>3373385.5720000239</v>
      </c>
      <c r="AB51" s="5">
        <v>0</v>
      </c>
      <c r="AC51" s="5">
        <v>0</v>
      </c>
    </row>
    <row r="52" spans="1:29">
      <c r="B52" s="37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246</v>
      </c>
      <c r="J52" s="4">
        <v>0</v>
      </c>
      <c r="K52" s="4">
        <v>101477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14438</v>
      </c>
      <c r="U52" s="5">
        <v>62978.635770000103</v>
      </c>
      <c r="V52" s="5">
        <v>18569</v>
      </c>
      <c r="W52" s="5">
        <v>56217.835689999956</v>
      </c>
      <c r="X52" s="5">
        <v>0</v>
      </c>
      <c r="Y52" s="5">
        <v>0</v>
      </c>
      <c r="Z52" s="5">
        <v>17790</v>
      </c>
      <c r="AA52" s="5">
        <v>119798.3</v>
      </c>
      <c r="AB52" s="5">
        <v>0</v>
      </c>
      <c r="AC52" s="5">
        <v>0</v>
      </c>
    </row>
    <row r="53" spans="1:29">
      <c r="B53" s="37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23716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442</v>
      </c>
      <c r="U53" s="5">
        <v>1738.8603400000002</v>
      </c>
      <c r="V53" s="5">
        <v>95</v>
      </c>
      <c r="W53" s="5">
        <v>185.87385999999998</v>
      </c>
      <c r="X53" s="5">
        <v>0</v>
      </c>
      <c r="Y53" s="5">
        <v>0</v>
      </c>
      <c r="Z53" s="5">
        <v>1025</v>
      </c>
      <c r="AA53" s="5">
        <v>6587.5</v>
      </c>
      <c r="AB53" s="5">
        <v>0</v>
      </c>
      <c r="AC53" s="5">
        <v>0</v>
      </c>
    </row>
    <row r="54" spans="1:29">
      <c r="B54" s="37">
        <v>42</v>
      </c>
      <c r="C54" s="3" t="s">
        <v>71</v>
      </c>
      <c r="D54" s="7">
        <v>54</v>
      </c>
      <c r="E54" s="4">
        <v>25</v>
      </c>
      <c r="F54" s="4">
        <v>0</v>
      </c>
      <c r="G54" s="4">
        <v>0</v>
      </c>
      <c r="H54" s="4">
        <v>0</v>
      </c>
      <c r="I54" s="4">
        <v>6483</v>
      </c>
      <c r="J54" s="4">
        <v>1024926</v>
      </c>
      <c r="K54" s="4">
        <v>1037056</v>
      </c>
      <c r="L54" s="5">
        <v>1284465</v>
      </c>
      <c r="M54" s="5">
        <v>5723600.8154699951</v>
      </c>
      <c r="N54" s="5">
        <v>4284371</v>
      </c>
      <c r="O54" s="5">
        <v>14041586.534470066</v>
      </c>
      <c r="P54" s="5">
        <v>0</v>
      </c>
      <c r="Q54" s="5">
        <v>0</v>
      </c>
      <c r="R54" s="5">
        <v>2303</v>
      </c>
      <c r="S54" s="5">
        <v>22324.448690000001</v>
      </c>
      <c r="T54" s="5">
        <v>272799</v>
      </c>
      <c r="U54" s="5">
        <v>1626173.4750699999</v>
      </c>
      <c r="V54" s="5">
        <v>0</v>
      </c>
      <c r="W54" s="5">
        <v>0</v>
      </c>
      <c r="X54" s="5">
        <v>0</v>
      </c>
      <c r="Y54" s="5">
        <v>0</v>
      </c>
      <c r="Z54" s="5">
        <v>211639</v>
      </c>
      <c r="AA54" s="5">
        <v>1408584.1465399999</v>
      </c>
      <c r="AB54" s="5">
        <v>0</v>
      </c>
      <c r="AC54" s="5">
        <v>0</v>
      </c>
    </row>
    <row r="55" spans="1:29">
      <c r="B55" s="37">
        <v>43</v>
      </c>
      <c r="C55" s="3" t="s">
        <v>72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2174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1561</v>
      </c>
      <c r="U55" s="5">
        <v>6417.0309999999999</v>
      </c>
      <c r="V55" s="5">
        <v>120</v>
      </c>
      <c r="W55" s="5">
        <v>740.64099999999996</v>
      </c>
      <c r="X55" s="5">
        <v>0</v>
      </c>
      <c r="Y55" s="5">
        <v>0</v>
      </c>
      <c r="Z55" s="5">
        <v>288</v>
      </c>
      <c r="AA55" s="5">
        <v>1855.8910000000001</v>
      </c>
      <c r="AB55" s="5">
        <v>0</v>
      </c>
      <c r="AC55" s="5">
        <v>0</v>
      </c>
    </row>
    <row r="56" spans="1:29">
      <c r="B56" s="37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425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323</v>
      </c>
      <c r="U56" s="5">
        <v>626.03445999999997</v>
      </c>
      <c r="V56" s="5">
        <v>260</v>
      </c>
      <c r="W56" s="5">
        <v>460.59708000000001</v>
      </c>
      <c r="X56" s="5">
        <v>0</v>
      </c>
      <c r="Y56" s="5">
        <v>0</v>
      </c>
      <c r="Z56" s="5">
        <v>63</v>
      </c>
      <c r="AA56" s="5">
        <v>372.8</v>
      </c>
      <c r="AB56" s="5">
        <v>0</v>
      </c>
      <c r="AC56" s="5">
        <v>0</v>
      </c>
    </row>
    <row r="57" spans="1:29">
      <c r="A57" s="27" t="s">
        <v>74</v>
      </c>
      <c r="B57" s="37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83</v>
      </c>
      <c r="J57" s="4">
        <v>736170</v>
      </c>
      <c r="K57" s="4">
        <v>874005</v>
      </c>
      <c r="L57" s="5">
        <v>89773</v>
      </c>
      <c r="M57" s="5">
        <v>141590.87312999999</v>
      </c>
      <c r="N57" s="5">
        <v>271900</v>
      </c>
      <c r="O57" s="5">
        <v>338673.16781000001</v>
      </c>
      <c r="P57" s="5">
        <v>0</v>
      </c>
      <c r="Q57" s="5">
        <v>0</v>
      </c>
      <c r="R57" s="5">
        <v>1628</v>
      </c>
      <c r="S57" s="5">
        <v>7267.3</v>
      </c>
      <c r="T57" s="5">
        <v>8119</v>
      </c>
      <c r="U57" s="5">
        <v>28050.858919999999</v>
      </c>
      <c r="V57" s="5">
        <v>12184</v>
      </c>
      <c r="W57" s="5">
        <v>59147.261279999999</v>
      </c>
      <c r="X57" s="5">
        <v>0</v>
      </c>
      <c r="Y57" s="5">
        <v>0</v>
      </c>
      <c r="Z57" s="5">
        <v>23600</v>
      </c>
      <c r="AA57" s="5">
        <v>166750.31565999999</v>
      </c>
      <c r="AB57" s="5">
        <v>0</v>
      </c>
      <c r="AC57" s="5">
        <v>0</v>
      </c>
    </row>
    <row r="58" spans="1:29">
      <c r="B58" s="37">
        <v>46</v>
      </c>
      <c r="C58" s="25" t="s">
        <v>76</v>
      </c>
      <c r="D58" s="4">
        <v>87</v>
      </c>
      <c r="E58" s="4">
        <v>31</v>
      </c>
      <c r="F58" s="4">
        <v>0</v>
      </c>
      <c r="G58" s="4">
        <v>0</v>
      </c>
      <c r="H58" s="4">
        <v>0</v>
      </c>
      <c r="I58" s="4">
        <v>0</v>
      </c>
      <c r="J58" s="4">
        <v>540916</v>
      </c>
      <c r="K58" s="4">
        <v>736259</v>
      </c>
      <c r="L58" s="5">
        <v>568249</v>
      </c>
      <c r="M58" s="5">
        <v>2289113.2059100508</v>
      </c>
      <c r="N58" s="5">
        <v>802006</v>
      </c>
      <c r="O58" s="5">
        <v>4259872.0342106754</v>
      </c>
      <c r="P58" s="5">
        <v>0</v>
      </c>
      <c r="Q58" s="5">
        <v>0</v>
      </c>
      <c r="R58" s="5">
        <v>810</v>
      </c>
      <c r="S58" s="5">
        <v>5948.6062499999998</v>
      </c>
      <c r="T58" s="5">
        <v>135337</v>
      </c>
      <c r="U58" s="5">
        <v>643810.26897999702</v>
      </c>
      <c r="V58" s="5">
        <v>101501</v>
      </c>
      <c r="W58" s="5">
        <v>403619.45091998373</v>
      </c>
      <c r="X58" s="5">
        <v>17</v>
      </c>
      <c r="Y58" s="5">
        <v>556.101</v>
      </c>
      <c r="Z58" s="5">
        <v>287841</v>
      </c>
      <c r="AA58" s="5">
        <v>1788921.5706300009</v>
      </c>
      <c r="AB58" s="5">
        <v>0</v>
      </c>
      <c r="AC58" s="5">
        <v>0</v>
      </c>
    </row>
    <row r="59" spans="1:29">
      <c r="B59" s="37">
        <v>47</v>
      </c>
      <c r="C59" s="25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991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1256</v>
      </c>
      <c r="U59" s="5">
        <v>5057.7485399999996</v>
      </c>
      <c r="V59" s="5">
        <v>583</v>
      </c>
      <c r="W59" s="5">
        <v>1995.89984</v>
      </c>
      <c r="X59" s="5">
        <v>0</v>
      </c>
      <c r="Y59" s="5">
        <v>0</v>
      </c>
      <c r="Z59" s="5">
        <v>239</v>
      </c>
      <c r="AA59" s="5">
        <v>1866.9</v>
      </c>
      <c r="AB59" s="5">
        <v>0</v>
      </c>
      <c r="AC59" s="5">
        <v>0</v>
      </c>
    </row>
    <row r="60" spans="1:29">
      <c r="B60" s="8" t="s">
        <v>78</v>
      </c>
      <c r="C60" s="25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2" customFormat="1">
      <c r="A61" s="31"/>
      <c r="B61" s="38">
        <v>48</v>
      </c>
      <c r="C61" s="9" t="s">
        <v>79</v>
      </c>
      <c r="D61" s="10">
        <v>0</v>
      </c>
      <c r="E61" s="10">
        <v>0</v>
      </c>
      <c r="F61" s="10">
        <v>0</v>
      </c>
      <c r="G61" s="10">
        <v>166828</v>
      </c>
      <c r="H61" s="10">
        <v>0</v>
      </c>
      <c r="I61" s="10">
        <v>1100857</v>
      </c>
      <c r="J61" s="10">
        <v>0</v>
      </c>
      <c r="K61" s="10">
        <v>13381533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4228588</v>
      </c>
      <c r="U61" s="11">
        <v>189419.51543</v>
      </c>
      <c r="V61" s="11">
        <v>28455</v>
      </c>
      <c r="W61" s="11">
        <v>49620.4801200004</v>
      </c>
      <c r="X61" s="11">
        <v>0</v>
      </c>
      <c r="Y61" s="11">
        <v>0</v>
      </c>
      <c r="Z61" s="11">
        <v>611385</v>
      </c>
      <c r="AA61" s="11">
        <v>2351730.1460000002</v>
      </c>
      <c r="AB61" s="11">
        <v>0</v>
      </c>
      <c r="AC61" s="11">
        <v>0</v>
      </c>
    </row>
    <row r="62" spans="1:29" s="32" customFormat="1">
      <c r="A62" s="31"/>
      <c r="B62" s="38">
        <v>49</v>
      </c>
      <c r="C62" s="9" t="s">
        <v>80</v>
      </c>
      <c r="D62" s="10">
        <v>0</v>
      </c>
      <c r="E62" s="10">
        <v>0</v>
      </c>
      <c r="F62" s="10">
        <v>0</v>
      </c>
      <c r="G62" s="10">
        <v>480072</v>
      </c>
      <c r="H62" s="10">
        <v>0</v>
      </c>
      <c r="I62" s="10">
        <v>16499</v>
      </c>
      <c r="J62" s="10">
        <v>0</v>
      </c>
      <c r="K62" s="10">
        <v>11977037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78121</v>
      </c>
      <c r="U62" s="11">
        <v>168596.38969000004</v>
      </c>
      <c r="V62" s="11">
        <v>793</v>
      </c>
      <c r="W62" s="11">
        <v>1448.3267200000003</v>
      </c>
      <c r="X62" s="11">
        <v>0</v>
      </c>
      <c r="Y62" s="11">
        <v>0</v>
      </c>
      <c r="Z62" s="11">
        <v>1494461</v>
      </c>
      <c r="AA62" s="11">
        <v>5468684.7489999998</v>
      </c>
      <c r="AB62" s="11">
        <v>0</v>
      </c>
      <c r="AC62" s="11">
        <v>0</v>
      </c>
    </row>
    <row r="63" spans="1:29" s="32" customFormat="1">
      <c r="A63" s="31"/>
      <c r="B63" s="38">
        <v>50</v>
      </c>
      <c r="C63" s="9" t="s">
        <v>81</v>
      </c>
      <c r="D63" s="10">
        <v>0</v>
      </c>
      <c r="E63" s="10">
        <v>0</v>
      </c>
      <c r="F63" s="10">
        <v>0</v>
      </c>
      <c r="G63" s="10">
        <v>185293</v>
      </c>
      <c r="H63" s="10">
        <v>0</v>
      </c>
      <c r="I63" s="10">
        <v>3496620</v>
      </c>
      <c r="J63" s="10">
        <v>0</v>
      </c>
      <c r="K63" s="10">
        <v>36970626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49070</v>
      </c>
      <c r="W63" s="11">
        <v>45507.159509999998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2" customFormat="1">
      <c r="A64" s="31"/>
      <c r="B64" s="38">
        <v>51</v>
      </c>
      <c r="C64" s="9" t="s">
        <v>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66983</v>
      </c>
      <c r="J64" s="10">
        <v>0</v>
      </c>
      <c r="K64" s="10">
        <v>1590659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13119</v>
      </c>
      <c r="U64" s="11">
        <v>33821.879789999999</v>
      </c>
      <c r="V64" s="11">
        <v>11213</v>
      </c>
      <c r="W64" s="11">
        <v>17803.632100000003</v>
      </c>
      <c r="X64" s="11">
        <v>2361</v>
      </c>
      <c r="Y64" s="11">
        <v>1340.99981</v>
      </c>
      <c r="Z64" s="11">
        <v>108727</v>
      </c>
      <c r="AA64" s="11">
        <v>508798.75799999997</v>
      </c>
      <c r="AB64" s="11">
        <v>0</v>
      </c>
      <c r="AC64" s="11">
        <v>0</v>
      </c>
    </row>
    <row r="65" spans="1:29" s="32" customFormat="1">
      <c r="A65" s="31"/>
      <c r="B65" s="38">
        <v>52</v>
      </c>
      <c r="C65" s="9" t="s">
        <v>83</v>
      </c>
      <c r="D65" s="10">
        <v>0</v>
      </c>
      <c r="E65" s="10">
        <v>0</v>
      </c>
      <c r="F65" s="10">
        <v>0</v>
      </c>
      <c r="G65" s="10">
        <v>179649</v>
      </c>
      <c r="H65" s="10">
        <v>0</v>
      </c>
      <c r="I65" s="10">
        <v>0</v>
      </c>
      <c r="J65" s="10">
        <v>0</v>
      </c>
      <c r="K65" s="10">
        <v>4263233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7437</v>
      </c>
      <c r="U65" s="11">
        <v>15513.957779999999</v>
      </c>
      <c r="V65" s="11">
        <v>19168</v>
      </c>
      <c r="W65" s="11">
        <v>25076.681489999999</v>
      </c>
      <c r="X65" s="11">
        <v>0</v>
      </c>
      <c r="Y65" s="11">
        <v>0</v>
      </c>
      <c r="Z65" s="11">
        <v>468834</v>
      </c>
      <c r="AA65" s="11">
        <v>1336790.8</v>
      </c>
      <c r="AB65" s="11">
        <v>0</v>
      </c>
      <c r="AC65" s="11">
        <v>0</v>
      </c>
    </row>
    <row r="66" spans="1:29">
      <c r="B66" s="8" t="s">
        <v>84</v>
      </c>
      <c r="C66" s="25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>
      <c r="B67" s="37">
        <v>53</v>
      </c>
      <c r="C67" s="3" t="s">
        <v>85</v>
      </c>
      <c r="D67" s="4">
        <v>812</v>
      </c>
      <c r="E67" s="4">
        <v>7</v>
      </c>
      <c r="F67" s="4">
        <v>0</v>
      </c>
      <c r="G67" s="4">
        <v>1033</v>
      </c>
      <c r="H67" s="4">
        <v>0</v>
      </c>
      <c r="I67" s="4">
        <v>194632</v>
      </c>
      <c r="J67" s="4">
        <v>1165360</v>
      </c>
      <c r="K67" s="4">
        <v>11502936</v>
      </c>
      <c r="L67" s="5">
        <v>755201</v>
      </c>
      <c r="M67" s="5">
        <v>4589444.5976299979</v>
      </c>
      <c r="N67" s="5">
        <v>4678833</v>
      </c>
      <c r="O67" s="5">
        <v>8781202.678919984</v>
      </c>
      <c r="P67" s="5">
        <v>0</v>
      </c>
      <c r="Q67" s="5">
        <v>0</v>
      </c>
      <c r="R67" s="5">
        <v>2351</v>
      </c>
      <c r="S67" s="5">
        <v>14899.5</v>
      </c>
      <c r="T67" s="5">
        <v>162631</v>
      </c>
      <c r="U67" s="5">
        <v>488971.22888000001</v>
      </c>
      <c r="V67" s="5">
        <v>189584</v>
      </c>
      <c r="W67" s="5">
        <v>848260.18001999997</v>
      </c>
      <c r="X67" s="5">
        <v>90</v>
      </c>
      <c r="Y67" s="5">
        <v>1367.3579999999999</v>
      </c>
      <c r="Z67" s="5">
        <v>800665</v>
      </c>
      <c r="AA67" s="5">
        <v>5218779.8</v>
      </c>
      <c r="AB67" s="5">
        <v>0</v>
      </c>
      <c r="AC67" s="5">
        <v>0</v>
      </c>
    </row>
    <row r="68" spans="1:29">
      <c r="B68" s="37">
        <v>54</v>
      </c>
      <c r="C68" s="3" t="s">
        <v>86</v>
      </c>
      <c r="D68" s="4">
        <v>218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243962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17352</v>
      </c>
      <c r="U68" s="5">
        <v>56385.796820000003</v>
      </c>
      <c r="V68" s="5">
        <v>1511</v>
      </c>
      <c r="W68" s="5">
        <v>11901.58886</v>
      </c>
      <c r="X68" s="5">
        <v>0</v>
      </c>
      <c r="Y68" s="5">
        <v>0</v>
      </c>
      <c r="Z68" s="5">
        <v>99968</v>
      </c>
      <c r="AA68" s="5">
        <v>656382.571</v>
      </c>
      <c r="AB68" s="5">
        <v>0</v>
      </c>
      <c r="AC68" s="5">
        <v>0</v>
      </c>
    </row>
    <row r="69" spans="1:29">
      <c r="B69" s="37">
        <v>55</v>
      </c>
      <c r="C69" s="3" t="s">
        <v>87</v>
      </c>
      <c r="D69" s="4">
        <v>398</v>
      </c>
      <c r="E69" s="4">
        <v>4</v>
      </c>
      <c r="F69" s="4">
        <v>2855</v>
      </c>
      <c r="G69" s="4">
        <v>369</v>
      </c>
      <c r="H69" s="4">
        <v>0</v>
      </c>
      <c r="I69" s="4">
        <v>50013</v>
      </c>
      <c r="J69" s="4">
        <v>30642</v>
      </c>
      <c r="K69" s="4">
        <v>1028675</v>
      </c>
      <c r="L69" s="5">
        <v>213355</v>
      </c>
      <c r="M69" s="5">
        <v>439891.05567999993</v>
      </c>
      <c r="N69" s="5">
        <v>15867</v>
      </c>
      <c r="O69" s="5">
        <v>225580.42228</v>
      </c>
      <c r="P69" s="5">
        <v>0</v>
      </c>
      <c r="Q69" s="5">
        <v>0</v>
      </c>
      <c r="R69" s="5">
        <v>442</v>
      </c>
      <c r="S69" s="5">
        <v>2344.6999999999998</v>
      </c>
      <c r="T69" s="5">
        <v>59703</v>
      </c>
      <c r="U69" s="5">
        <v>178151.95486</v>
      </c>
      <c r="V69" s="5">
        <v>19998</v>
      </c>
      <c r="W69" s="5">
        <v>123398.73091</v>
      </c>
      <c r="X69" s="5">
        <v>0</v>
      </c>
      <c r="Y69" s="5">
        <v>0</v>
      </c>
      <c r="Z69" s="5">
        <v>1524378</v>
      </c>
      <c r="AA69" s="5">
        <v>4642356.2510000002</v>
      </c>
      <c r="AB69" s="5">
        <v>0</v>
      </c>
      <c r="AC69" s="5">
        <v>0</v>
      </c>
    </row>
    <row r="70" spans="1:29">
      <c r="B70" s="37">
        <v>56</v>
      </c>
      <c r="C70" s="3" t="s">
        <v>88</v>
      </c>
      <c r="D70" s="4">
        <v>720</v>
      </c>
      <c r="E70" s="4">
        <v>2</v>
      </c>
      <c r="F70" s="4">
        <v>0</v>
      </c>
      <c r="G70" s="4">
        <v>3151</v>
      </c>
      <c r="H70" s="4">
        <v>0</v>
      </c>
      <c r="I70" s="4">
        <v>12018</v>
      </c>
      <c r="J70" s="4">
        <v>7799</v>
      </c>
      <c r="K70" s="4">
        <v>5403131</v>
      </c>
      <c r="L70" s="5">
        <v>6385</v>
      </c>
      <c r="M70" s="5">
        <v>17529.214600000003</v>
      </c>
      <c r="N70" s="5">
        <v>66939</v>
      </c>
      <c r="O70" s="5">
        <v>50058.227419999996</v>
      </c>
      <c r="P70" s="5">
        <v>0</v>
      </c>
      <c r="Q70" s="5">
        <v>0</v>
      </c>
      <c r="R70" s="5">
        <v>42</v>
      </c>
      <c r="S70" s="5">
        <v>198.8</v>
      </c>
      <c r="T70" s="5">
        <v>109517</v>
      </c>
      <c r="U70" s="5">
        <v>239004.29617000005</v>
      </c>
      <c r="V70" s="5">
        <v>7630</v>
      </c>
      <c r="W70" s="5">
        <v>32972.514559999996</v>
      </c>
      <c r="X70" s="5">
        <v>0</v>
      </c>
      <c r="Y70" s="5">
        <v>0</v>
      </c>
      <c r="Z70" s="5">
        <v>606145</v>
      </c>
      <c r="AA70" s="5">
        <v>3171355.2459999998</v>
      </c>
      <c r="AB70" s="5">
        <v>0</v>
      </c>
      <c r="AC70" s="5">
        <v>0</v>
      </c>
    </row>
    <row r="71" spans="1:29">
      <c r="B71" s="37">
        <v>57</v>
      </c>
      <c r="C71" s="3" t="s">
        <v>89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1035945</v>
      </c>
      <c r="J71" s="4">
        <v>0</v>
      </c>
      <c r="K71" s="4">
        <v>4363150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36049</v>
      </c>
      <c r="U71" s="5">
        <v>86682.668250000002</v>
      </c>
      <c r="V71" s="5">
        <v>9773</v>
      </c>
      <c r="W71" s="5">
        <v>28669.50013</v>
      </c>
      <c r="X71" s="5">
        <v>0</v>
      </c>
      <c r="Y71" s="5">
        <v>0</v>
      </c>
      <c r="Z71" s="5">
        <v>328449</v>
      </c>
      <c r="AA71" s="5">
        <v>1536641.24202</v>
      </c>
      <c r="AB71" s="5">
        <v>0</v>
      </c>
      <c r="AC71" s="5">
        <v>0</v>
      </c>
    </row>
    <row r="72" spans="1:29">
      <c r="B72" s="37">
        <v>58</v>
      </c>
      <c r="C72" s="3" t="s">
        <v>90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29742</v>
      </c>
      <c r="J72" s="4">
        <v>596951</v>
      </c>
      <c r="K72" s="4">
        <v>7309164</v>
      </c>
      <c r="L72" s="5">
        <v>8081013</v>
      </c>
      <c r="M72" s="5">
        <v>3768892.49009</v>
      </c>
      <c r="N72" s="5">
        <v>1814379</v>
      </c>
      <c r="O72" s="5">
        <v>1600920.9001999998</v>
      </c>
      <c r="P72" s="5">
        <v>0</v>
      </c>
      <c r="Q72" s="5">
        <v>0</v>
      </c>
      <c r="R72" s="5">
        <v>0</v>
      </c>
      <c r="S72" s="5">
        <v>0</v>
      </c>
      <c r="T72" s="5">
        <v>13017</v>
      </c>
      <c r="U72" s="5">
        <v>24483.980030000002</v>
      </c>
      <c r="V72" s="5">
        <v>55219</v>
      </c>
      <c r="W72" s="5">
        <v>188830.20599000002</v>
      </c>
      <c r="X72" s="5">
        <v>0</v>
      </c>
      <c r="Y72" s="5">
        <v>0</v>
      </c>
      <c r="Z72" s="5">
        <v>73815</v>
      </c>
      <c r="AA72" s="5">
        <v>382743.9</v>
      </c>
      <c r="AB72" s="5">
        <v>2210</v>
      </c>
      <c r="AC72" s="5">
        <v>8943.2039999999997</v>
      </c>
    </row>
    <row r="73" spans="1:29">
      <c r="B73" s="37">
        <v>59</v>
      </c>
      <c r="C73" s="3" t="s">
        <v>91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42193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1350</v>
      </c>
      <c r="U73" s="5">
        <v>3744.3997200000003</v>
      </c>
      <c r="V73" s="5">
        <v>652</v>
      </c>
      <c r="W73" s="5">
        <v>2677.6859399999998</v>
      </c>
      <c r="X73" s="5">
        <v>0</v>
      </c>
      <c r="Y73" s="5">
        <v>0</v>
      </c>
      <c r="Z73" s="5">
        <v>11473</v>
      </c>
      <c r="AA73" s="5">
        <v>63106.55</v>
      </c>
      <c r="AB73" s="5">
        <v>0</v>
      </c>
      <c r="AC73" s="5">
        <v>0</v>
      </c>
    </row>
    <row r="74" spans="1:29">
      <c r="B74" s="37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60647</v>
      </c>
      <c r="K74" s="4">
        <v>1053857</v>
      </c>
      <c r="L74" s="5">
        <v>8267</v>
      </c>
      <c r="M74" s="5">
        <v>30832.648000000001</v>
      </c>
      <c r="N74" s="5">
        <v>22675</v>
      </c>
      <c r="O74" s="5">
        <v>54466.983999999997</v>
      </c>
      <c r="P74" s="5">
        <v>0</v>
      </c>
      <c r="Q74" s="5">
        <v>0</v>
      </c>
      <c r="R74" s="5">
        <v>0</v>
      </c>
      <c r="S74" s="5">
        <v>0</v>
      </c>
      <c r="T74" s="5">
        <v>3544</v>
      </c>
      <c r="U74" s="5">
        <v>6829.6040000000003</v>
      </c>
      <c r="V74" s="5">
        <v>730</v>
      </c>
      <c r="W74" s="5">
        <v>3150.0639999999999</v>
      </c>
      <c r="X74" s="5">
        <v>0</v>
      </c>
      <c r="Y74" s="5">
        <v>0</v>
      </c>
      <c r="Z74" s="5">
        <v>31446</v>
      </c>
      <c r="AA74" s="5">
        <v>136375.04500000001</v>
      </c>
      <c r="AB74" s="5">
        <v>0</v>
      </c>
      <c r="AC74" s="5">
        <v>0</v>
      </c>
    </row>
    <row r="75" spans="1:29">
      <c r="B75" s="37">
        <v>61</v>
      </c>
      <c r="C75" s="3" t="s">
        <v>93</v>
      </c>
      <c r="D75" s="4">
        <v>616</v>
      </c>
      <c r="E75" s="4">
        <v>3</v>
      </c>
      <c r="F75" s="4">
        <v>0</v>
      </c>
      <c r="G75" s="4">
        <v>0</v>
      </c>
      <c r="H75" s="4">
        <v>0</v>
      </c>
      <c r="I75" s="4">
        <v>552798</v>
      </c>
      <c r="J75" s="4">
        <v>0</v>
      </c>
      <c r="K75" s="4">
        <v>6615922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119005</v>
      </c>
      <c r="U75" s="5">
        <v>290544.69569999998</v>
      </c>
      <c r="V75" s="5">
        <v>18652</v>
      </c>
      <c r="W75" s="5">
        <v>108991.804</v>
      </c>
      <c r="X75" s="5">
        <v>0</v>
      </c>
      <c r="Y75" s="5">
        <v>0</v>
      </c>
      <c r="Z75" s="5">
        <v>2651361</v>
      </c>
      <c r="AA75" s="5">
        <v>12701864.898080001</v>
      </c>
      <c r="AB75" s="5">
        <v>0</v>
      </c>
      <c r="AC75" s="5">
        <v>0</v>
      </c>
    </row>
    <row r="76" spans="1:29">
      <c r="B76" s="37">
        <v>62</v>
      </c>
      <c r="C76" s="3" t="s">
        <v>94</v>
      </c>
      <c r="D76" s="4">
        <v>189</v>
      </c>
      <c r="E76" s="4">
        <v>1</v>
      </c>
      <c r="F76" s="4">
        <v>0</v>
      </c>
      <c r="G76" s="4">
        <v>0</v>
      </c>
      <c r="H76" s="4">
        <v>0</v>
      </c>
      <c r="I76" s="4">
        <v>0</v>
      </c>
      <c r="J76" s="4">
        <v>459171</v>
      </c>
      <c r="K76" s="4">
        <v>129433</v>
      </c>
      <c r="L76" s="5">
        <v>59285</v>
      </c>
      <c r="M76" s="5">
        <v>258397.27343</v>
      </c>
      <c r="N76" s="5">
        <v>167917</v>
      </c>
      <c r="O76" s="5">
        <v>602138.63395999989</v>
      </c>
      <c r="P76" s="5">
        <v>0</v>
      </c>
      <c r="Q76" s="5">
        <v>0</v>
      </c>
      <c r="R76" s="5">
        <v>2227</v>
      </c>
      <c r="S76" s="5">
        <v>10135.1</v>
      </c>
      <c r="T76" s="5">
        <v>7085</v>
      </c>
      <c r="U76" s="5">
        <v>17937.371659999993</v>
      </c>
      <c r="V76" s="5">
        <v>1192</v>
      </c>
      <c r="W76" s="5">
        <v>7774.2241600000116</v>
      </c>
      <c r="X76" s="5">
        <v>0</v>
      </c>
      <c r="Y76" s="5">
        <v>0</v>
      </c>
      <c r="Z76" s="5">
        <v>32591</v>
      </c>
      <c r="AA76" s="5">
        <v>175407.15</v>
      </c>
      <c r="AB76" s="5">
        <v>0</v>
      </c>
      <c r="AC76" s="5">
        <v>0</v>
      </c>
    </row>
    <row r="77" spans="1:29">
      <c r="B77" s="37">
        <v>63</v>
      </c>
      <c r="C77" s="3" t="s">
        <v>95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42882</v>
      </c>
      <c r="J77" s="4">
        <v>373237</v>
      </c>
      <c r="K77" s="4">
        <v>1182917</v>
      </c>
      <c r="L77" s="5">
        <v>21275</v>
      </c>
      <c r="M77" s="5">
        <v>38648.104370000008</v>
      </c>
      <c r="N77" s="5">
        <v>92182</v>
      </c>
      <c r="O77" s="5">
        <v>101405.21718999998</v>
      </c>
      <c r="P77" s="5">
        <v>3907734</v>
      </c>
      <c r="Q77" s="5">
        <v>1045204.7557900001</v>
      </c>
      <c r="R77" s="5">
        <v>1535</v>
      </c>
      <c r="S77" s="5">
        <v>2161.7226299999998</v>
      </c>
      <c r="T77" s="5">
        <v>13763</v>
      </c>
      <c r="U77" s="5">
        <v>41249.505509999981</v>
      </c>
      <c r="V77" s="5">
        <v>4158</v>
      </c>
      <c r="W77" s="5">
        <v>19707.832049999979</v>
      </c>
      <c r="X77" s="5">
        <v>1</v>
      </c>
      <c r="Y77" s="5">
        <v>25</v>
      </c>
      <c r="Z77" s="5">
        <v>117979</v>
      </c>
      <c r="AA77" s="5">
        <v>810388.10800000001</v>
      </c>
      <c r="AB77" s="5">
        <v>0</v>
      </c>
      <c r="AC77" s="5">
        <v>0</v>
      </c>
    </row>
    <row r="78" spans="1:29" s="34" customFormat="1">
      <c r="A78" s="33"/>
      <c r="B78" s="8" t="s">
        <v>96</v>
      </c>
      <c r="C78" s="25"/>
      <c r="D78" s="12">
        <f t="shared" ref="D78:AC78" si="0">SUM(D11:D77)</f>
        <v>136669</v>
      </c>
      <c r="E78" s="12">
        <f t="shared" si="0"/>
        <v>73092</v>
      </c>
      <c r="F78" s="12">
        <f t="shared" si="0"/>
        <v>10419206</v>
      </c>
      <c r="G78" s="12">
        <f t="shared" si="0"/>
        <v>1333328</v>
      </c>
      <c r="H78" s="12">
        <f t="shared" si="0"/>
        <v>5340323</v>
      </c>
      <c r="I78" s="12">
        <f t="shared" si="0"/>
        <v>885504973</v>
      </c>
      <c r="J78" s="12">
        <f t="shared" si="0"/>
        <v>125315381</v>
      </c>
      <c r="K78" s="12">
        <f t="shared" si="0"/>
        <v>1039700822</v>
      </c>
      <c r="L78" s="12">
        <f t="shared" si="0"/>
        <v>298159423</v>
      </c>
      <c r="M78" s="12">
        <f t="shared" si="0"/>
        <v>777514704.47391045</v>
      </c>
      <c r="N78" s="12">
        <f t="shared" si="0"/>
        <v>307870355</v>
      </c>
      <c r="O78" s="12">
        <f t="shared" si="0"/>
        <v>1260742606.8207304</v>
      </c>
      <c r="P78" s="12">
        <f t="shared" si="0"/>
        <v>4054757</v>
      </c>
      <c r="Q78" s="12">
        <f t="shared" si="0"/>
        <v>1120543.0456000001</v>
      </c>
      <c r="R78" s="12">
        <f t="shared" si="0"/>
        <v>662921</v>
      </c>
      <c r="S78" s="12">
        <f t="shared" si="0"/>
        <v>3827427.6489799996</v>
      </c>
      <c r="T78" s="12">
        <f t="shared" si="0"/>
        <v>70748439</v>
      </c>
      <c r="U78" s="12">
        <f t="shared" si="0"/>
        <v>207038740.01624987</v>
      </c>
      <c r="V78" s="12">
        <f t="shared" si="0"/>
        <v>26045796</v>
      </c>
      <c r="W78" s="12">
        <f t="shared" si="0"/>
        <v>131257666.57995994</v>
      </c>
      <c r="X78" s="12">
        <f t="shared" si="0"/>
        <v>77987</v>
      </c>
      <c r="Y78" s="12">
        <f t="shared" si="0"/>
        <v>2407649.8092399999</v>
      </c>
      <c r="Z78" s="12">
        <f t="shared" si="0"/>
        <v>398306574</v>
      </c>
      <c r="AA78" s="12">
        <f t="shared" si="0"/>
        <v>2191312165.8192611</v>
      </c>
      <c r="AB78" s="12">
        <f t="shared" si="0"/>
        <v>6169</v>
      </c>
      <c r="AC78" s="12">
        <f t="shared" si="0"/>
        <v>11973.417519999999</v>
      </c>
    </row>
    <row r="79" spans="1:29" s="34" customFormat="1">
      <c r="A79" s="33"/>
      <c r="B79" s="8"/>
      <c r="C79" s="2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>
      <c r="A80" s="35"/>
      <c r="B80" s="21"/>
      <c r="C80" s="2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30">
      <c r="A81" s="39"/>
      <c r="B81" s="23" t="s">
        <v>123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30">
      <c r="A82" s="40"/>
      <c r="B82" s="23" t="s">
        <v>97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30">
      <c r="A83" s="40"/>
      <c r="B83" s="23" t="s">
        <v>98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30" s="36" customFormat="1">
      <c r="A84" s="40"/>
      <c r="B84" s="23" t="s">
        <v>99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30" s="36" customFormat="1">
      <c r="A85" s="40"/>
      <c r="B85" s="23" t="s">
        <v>100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30" s="36" customFormat="1">
      <c r="A86" s="40"/>
      <c r="B86" s="23" t="s">
        <v>101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30" s="36" customFormat="1">
      <c r="A87" s="40"/>
      <c r="B87" s="23" t="s">
        <v>102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30" s="36" customFormat="1">
      <c r="A88" s="40"/>
      <c r="B88" s="23" t="s">
        <v>103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30" s="36" customFormat="1">
      <c r="A89" s="40"/>
      <c r="B89" s="23" t="s">
        <v>104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30" s="36" customFormat="1">
      <c r="A90" s="40"/>
      <c r="B90" s="23" t="s">
        <v>105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13"/>
    </row>
    <row r="91" spans="1:30" s="36" customFormat="1">
      <c r="A91" s="40"/>
      <c r="B91" s="23" t="s">
        <v>106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30" s="36" customFormat="1">
      <c r="A92" s="40"/>
      <c r="B92" s="23" t="s">
        <v>107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13"/>
    </row>
    <row r="93" spans="1:30" s="36" customFormat="1">
      <c r="A93" s="40"/>
      <c r="B93" s="23" t="s">
        <v>108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30" s="36" customFormat="1">
      <c r="A94" s="40"/>
      <c r="B94" s="23" t="s">
        <v>109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30" s="36" customFormat="1">
      <c r="A95" s="40"/>
      <c r="B95" s="23" t="s">
        <v>110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30" s="36" customFormat="1">
      <c r="A96" s="40"/>
      <c r="B96" s="23" t="s">
        <v>111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31" s="36" customFormat="1">
      <c r="A97" s="40"/>
      <c r="B97" s="23" t="s">
        <v>112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31" s="36" customFormat="1">
      <c r="A98" s="40"/>
      <c r="B98" s="23" t="s">
        <v>113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31" s="36" customFormat="1">
      <c r="A99" s="40"/>
      <c r="B99" s="23" t="s">
        <v>114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31" s="36" customFormat="1">
      <c r="A100" s="40"/>
      <c r="B100" s="23" t="s">
        <v>115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31" s="36" customFormat="1">
      <c r="A101" s="41"/>
      <c r="B101" s="23" t="s">
        <v>116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14"/>
      <c r="AE101" s="14"/>
    </row>
    <row r="102" spans="1:31" s="36" customFormat="1">
      <c r="A102" s="40"/>
      <c r="B102" s="23" t="s">
        <v>117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31" s="36" customFormat="1">
      <c r="A103" s="40"/>
      <c r="B103" s="23" t="s">
        <v>118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31" s="36" customFormat="1">
      <c r="A104" s="40"/>
      <c r="B104" s="23" t="s">
        <v>119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31" s="36" customFormat="1">
      <c r="A105" s="40"/>
      <c r="B105" s="23" t="s">
        <v>120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31" s="36" customFormat="1">
      <c r="A106" s="40"/>
      <c r="B106" s="23" t="s">
        <v>121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31" s="36" customFormat="1">
      <c r="A107" s="40"/>
      <c r="B107" s="23" t="s">
        <v>122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</sheetData>
  <mergeCells count="55"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X6:Y6"/>
    <mergeCell ref="B84:AC84"/>
    <mergeCell ref="G5:G7"/>
    <mergeCell ref="H5:H7"/>
    <mergeCell ref="I5:I7"/>
    <mergeCell ref="J5:J7"/>
    <mergeCell ref="K5:K7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September 2026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dcterms:created xsi:type="dcterms:W3CDTF">2026-10-12T05:09:56Z</dcterms:created>
  <dcterms:modified xsi:type="dcterms:W3CDTF">2026-10-26T13:36:48Z</dcterms:modified>
</cp:coreProperties>
</file>