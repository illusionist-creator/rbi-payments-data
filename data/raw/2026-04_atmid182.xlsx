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6\June,2026\24.06.2026\Revised_Interim Card Statistics for Website- April 2026\Eng\"/>
    </mc:Choice>
  </mc:AlternateContent>
  <xr:revisionPtr revIDLastSave="0" documentId="13_ncr:1_{CF5B655C-16B3-459A-9F51-788E49043785}" xr6:coauthVersionLast="47" xr6:coauthVersionMax="47" xr10:uidLastSave="{00000000-0000-0000-0000-000000000000}"/>
  <bookViews>
    <workbookView xWindow="-120" yWindow="-120" windowWidth="29040" windowHeight="15720" xr2:uid="{B78CE5B9-8FD7-48D7-A800-41CE99579B2A}"/>
  </bookViews>
  <sheets>
    <sheet name="For Website April 2026" sheetId="1" r:id="rId1"/>
  </sheets>
  <definedNames>
    <definedName name="_xlnm._FilterDatabase" localSheetId="0" hidden="1">'For Website April 2026'!$D$8:$AC$78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8" i="1" l="1"/>
  <c r="D78" i="1"/>
  <c r="X78" i="1"/>
  <c r="W78" i="1"/>
  <c r="V78" i="1"/>
  <c r="U78" i="1"/>
  <c r="S78" i="1"/>
  <c r="R78" i="1"/>
  <c r="Q78" i="1"/>
  <c r="O78" i="1"/>
  <c r="N78" i="1"/>
  <c r="H78" i="1"/>
  <c r="G78" i="1"/>
  <c r="F78" i="1"/>
  <c r="I78" i="1" l="1"/>
  <c r="J78" i="1"/>
  <c r="Z78" i="1"/>
  <c r="Y78" i="1"/>
  <c r="K78" i="1"/>
  <c r="AA78" i="1"/>
  <c r="L78" i="1"/>
  <c r="AC78" i="1"/>
  <c r="AB78" i="1"/>
  <c r="M78" i="1"/>
  <c r="T78" i="1"/>
  <c r="P78" i="1"/>
</calcChain>
</file>

<file path=xl/sharedStrings.xml><?xml version="1.0" encoding="utf-8"?>
<sst xmlns="http://schemas.openxmlformats.org/spreadsheetml/2006/main" count="146" uniqueCount="124">
  <si>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</si>
  <si>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</si>
  <si>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</si>
  <si>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</si>
  <si>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</si>
  <si>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</si>
  <si>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</si>
  <si>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</si>
  <si>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</si>
  <si>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</si>
  <si>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</si>
  <si>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</si>
  <si>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</si>
  <si>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</si>
  <si>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</si>
  <si>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</si>
  <si>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</si>
  <si>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</si>
  <si>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</si>
  <si>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</si>
  <si>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</si>
  <si>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</si>
  <si>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</si>
  <si>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</si>
  <si>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</si>
  <si>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</si>
  <si>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</si>
  <si>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</si>
  <si>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</si>
  <si>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</si>
  <si>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</si>
  <si>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</si>
  <si>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</si>
  <si>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</si>
  <si>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</si>
  <si>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</si>
  <si>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</si>
  <si>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</si>
  <si>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</si>
  <si>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</si>
  <si>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</si>
  <si>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</si>
  <si>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</si>
  <si>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</si>
  <si>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</si>
  <si>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</si>
  <si>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</si>
  <si>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</si>
  <si>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</si>
  <si>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</si>
  <si>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</si>
  <si>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</si>
  <si>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</si>
  <si>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</si>
  <si>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</si>
  <si>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</si>
  <si>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</si>
  <si>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</si>
  <si>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</si>
  <si>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</si>
  <si>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</si>
  <si>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</si>
  <si>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</si>
  <si>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</si>
  <si>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</si>
  <si>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</si>
  <si>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</si>
  <si>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</si>
  <si>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</si>
  <si>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</si>
  <si>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</si>
  <si>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</si>
  <si>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</si>
  <si>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</si>
  <si>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</si>
  <si>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</si>
  <si>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</si>
  <si>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</si>
  <si>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</si>
  <si>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</si>
  <si>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</si>
  <si>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</si>
  <si>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</si>
  <si>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</si>
  <si>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</si>
  <si>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</si>
  <si>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</si>
  <si>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</si>
  <si>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</si>
  <si>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</si>
  <si>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</si>
  <si>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</si>
  <si>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</si>
  <si>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</si>
  <si>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</si>
  <si>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</si>
  <si>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ATM, Acceptance Infrastructure and Card Statistics for the Month of April 2026</t>
  </si>
  <si>
    <t>Note The data is provisional</t>
  </si>
  <si>
    <t>1 Total number of ATMs &amp; CRMs deployed on-site by the bank</t>
  </si>
  <si>
    <t>2 Total number of ATMs &amp; CRMs deployed off-site by the bank</t>
  </si>
  <si>
    <t>3 Total number of PoS terminals deployed by the bank</t>
  </si>
  <si>
    <t>4 Total number of Micro ATMs deployed by the bank</t>
  </si>
  <si>
    <t>5 Total number of Bharat QR Codes deployed by the bank</t>
  </si>
  <si>
    <t>6 Total number of UPI QR Codes deployed by the bank</t>
  </si>
  <si>
    <t>7 Total number of credit cards issued outstanding (after adjusting the number of cards withdrawan/cancelled)</t>
  </si>
  <si>
    <t>8 Total number of debit cards issued outstanding (after adjusting the number of cards withdrawan/cancelled)</t>
  </si>
  <si>
    <t>9 Total number of financial transactions done by the credit card issued by the bank at PoS terminals</t>
  </si>
  <si>
    <t>10 Total value of financial transactions done by the credit card issued by the bank at PoS terminals</t>
  </si>
  <si>
    <t>11 Total number of financial transactions done by the credit card issued by the bank at online and e-commerce sites</t>
  </si>
  <si>
    <t>12 Total value of financial transactions done by the credit card issued by the bank at online and e-commerce sites</t>
  </si>
  <si>
    <t>13 Total number of other financial transactions done by the credit card issued by the bank (example: Mail-Order and Tele-Order transactions)</t>
  </si>
  <si>
    <t>14 Total value of other financial transactions done by the credit card issued by the bank (example: Mail-Order and Tele-Order transactions)</t>
  </si>
  <si>
    <t>15 Total number of cash withdrawal transactions done by the credit card issued by the bank at ATMs</t>
  </si>
  <si>
    <t>16 Total value of cash withdrawal transactions done by the credit card issued by the bank at ATMs</t>
  </si>
  <si>
    <t>17 Total number of financial transactions done by the debit card issued by the bank at PoS terminals</t>
  </si>
  <si>
    <t>18 Total value of financial transactions done by the debit card issued by the bank at PoS terminals</t>
  </si>
  <si>
    <t>19 Total number of financial transactions done by the debit card issued by the bank at online and e-commerce sites</t>
  </si>
  <si>
    <t>20 Total value of financial transactions done by the debit card issued by the bank at online and e-commerce sites</t>
  </si>
  <si>
    <t>21 Total number of other financial transactions done by the debit card issued by the bank (example: debit card transactions done at ATMs viz card to card transactions, Bill Payments, Credit Card Payments, Mobile Recharge etc)</t>
  </si>
  <si>
    <t>22 Total value of other financial transactions done by the debit card issued by the bank (example: debit card transactions done at ATMs viz card to card transactions, Bill Payments, Credit Card Payments, Mobile Recharge etc)</t>
  </si>
  <si>
    <t>23 Total number of cash withdrawal transactions done by the debit card issued by the bank at ATMs</t>
  </si>
  <si>
    <t>24 Total value of cash withdrawal transactions done by the debit card issued by the bank at ATMs</t>
  </si>
  <si>
    <t>25 Total number of cash withdrawal transactions done by the debit card issued by the bank at PoS terminals</t>
  </si>
  <si>
    <t>26 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</si>
</sst>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9">
    <xf numFmtId="0" fontId="0" fillId="0" borderId="0" xfId="0"/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1" fontId="5" fillId="2" borderId="1" xfId="0" applyNumberFormat="1" applyFont="1" applyFill="1" applyBorder="1"/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right" vertical="top"/>
    </xf>
    <xf numFmtId="1" fontId="5" fillId="2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 applyAlignment="1" applyProtection="1">
      <alignment horizontal="right" vertical="center"/>
    </xf>
    <xf numFmtId="0" fontId="7" fillId="2" borderId="0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vertical="center" wrapText="1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vertical="center"/>
      <protection locked="0"/>
    </xf>
    <xf numFmtId="0" fontId="6" fillId="2" borderId="1" xfId="1" applyFont="1" applyFill="1" applyBorder="1" applyAlignment="1" applyProtection="1">
      <alignment vertical="center" wrapText="1"/>
      <protection locked="0"/>
    </xf>
    <xf numFmtId="164" fontId="6" fillId="2" borderId="1" xfId="1" applyNumberFormat="1" applyFont="1" applyFill="1" applyBorder="1" applyAlignment="1" applyProtection="1">
      <alignment horizontal="right" vertical="center" wrapText="1"/>
      <protection locked="0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6" fillId="2" borderId="0" xfId="1" applyFont="1" applyFill="1" applyBorder="1" applyAlignment="1" applyProtection="1">
      <alignment horizontal="left" vertical="center" wrapText="1"/>
      <protection locked="0"/>
    </xf>
    <xf numFmtId="0" fontId="2" fillId="2" borderId="0" xfId="1" applyFont="1" applyFill="1" applyBorder="1" applyAlignment="1" applyProtection="1">
      <alignment horizontal="left" vertical="center" wrapText="1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1" fontId="4" fillId="2" borderId="2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left" vertical="center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Protection="1">
      <protection locked="0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4" fillId="2" borderId="0" xfId="0" applyFont="1" applyFill="1" applyAlignment="1" applyProtection="1">
      <alignment horizontal="left"/>
      <protection locked="0"/>
    </xf>
    <xf numFmtId="0" fontId="5" fillId="2" borderId="2" xfId="0" applyFont="1" applyFill="1" applyBorder="1" applyProtection="1">
      <protection locked="0"/>
    </xf>
    <xf numFmtId="0" fontId="4" fillId="2" borderId="0" xfId="0" applyFont="1" applyFill="1"/>
    <xf numFmtId="0" fontId="5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left"/>
      <protection locked="0"/>
    </xf>
    <xf numFmtId="0" fontId="7" fillId="2" borderId="0" xfId="0" applyFont="1" applyFill="1"/>
    <xf numFmtId="0" fontId="2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>
      <alignment horizontal="right"/>
    </xf>
    <xf numFmtId="1" fontId="5" fillId="0" borderId="1" xfId="0" applyNumberFormat="1" applyFont="1" applyFill="1" applyBorder="1"/>
    <xf numFmtId="0" fontId="5" fillId="0" borderId="1" xfId="0" applyFont="1" applyFill="1" applyBorder="1"/>
  </cellXfs>
  <cellStyles count="3">
    <cellStyle name="Normal" xfId="0" builtinId="0"/>
    <cellStyle name="Normal 2 10" xfId="2" xr:uid="{6E3936A8-58D1-4A78-8F48-DC69D482F63B}"/>
    <cellStyle name="Normal 2 2" xfId="1" xr:uid="{CB0079F0-E36E-4EC8-BB2A-37E7F14629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4CB4-553F-4AB9-BEE3-6B28C9FCAA49}">
  <dimension ref="A2:AE107"/>
  <sheetViews>
    <sheetView tabSelected="1" zoomScaleNormal="100" workbookViewId="0">
      <selection activeCell="A2" sqref="A2"/>
    </sheetView>
  </sheetViews>
  <sheetFormatPr defaultColWidth="8.85546875" defaultRowHeight="12.75" x14ac:dyDescent="0.2"/>
  <cols>
    <col min="1" max="1" width="2.85546875" style="20" customWidth="1"/>
    <col min="2" max="2" width="8.7109375" style="21" customWidth="1"/>
    <col min="3" max="3" width="44" style="21" bestFit="1" customWidth="1"/>
    <col min="4" max="4" width="9.42578125" style="28" customWidth="1"/>
    <col min="5" max="5" width="9.28515625" style="28" customWidth="1"/>
    <col min="6" max="6" width="9.7109375" style="21" customWidth="1"/>
    <col min="7" max="7" width="9.28515625" style="21" customWidth="1"/>
    <col min="8" max="8" width="10.42578125" style="21" customWidth="1"/>
    <col min="9" max="9" width="11.5703125" style="21" customWidth="1"/>
    <col min="10" max="10" width="11" style="21" customWidth="1"/>
    <col min="11" max="11" width="10.7109375" style="21" customWidth="1"/>
    <col min="12" max="12" width="10.28515625" style="21" bestFit="1" customWidth="1"/>
    <col min="13" max="13" width="12" style="21" bestFit="1" customWidth="1"/>
    <col min="14" max="14" width="10" style="21" bestFit="1" customWidth="1"/>
    <col min="15" max="15" width="12" style="21" bestFit="1" customWidth="1"/>
    <col min="16" max="16" width="10.7109375" style="21" customWidth="1"/>
    <col min="17" max="17" width="10" style="21" bestFit="1" customWidth="1"/>
    <col min="18" max="18" width="10" style="21" customWidth="1"/>
    <col min="19" max="19" width="12" style="21" bestFit="1" customWidth="1"/>
    <col min="20" max="20" width="10" style="21" bestFit="1" customWidth="1"/>
    <col min="21" max="23" width="12" style="21" bestFit="1" customWidth="1"/>
    <col min="24" max="24" width="10.85546875" style="21" customWidth="1"/>
    <col min="25" max="25" width="12" style="21" bestFit="1" customWidth="1"/>
    <col min="26" max="26" width="10" style="21" bestFit="1" customWidth="1"/>
    <col min="27" max="27" width="11" style="21" bestFit="1" customWidth="1"/>
    <col min="28" max="28" width="10.140625" style="21" customWidth="1"/>
    <col min="29" max="29" width="12" style="21" bestFit="1" customWidth="1"/>
    <col min="30" max="30" width="12.28515625" style="21" customWidth="1"/>
    <col min="31" max="16384" width="8.85546875" style="21"/>
  </cols>
  <sheetData>
    <row r="2" spans="1:29" x14ac:dyDescent="0.2">
      <c r="B2" s="43" t="s">
        <v>96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</row>
    <row r="3" spans="1:29" x14ac:dyDescent="0.2">
      <c r="B3" s="43" t="s">
        <v>0</v>
      </c>
      <c r="C3" s="43" t="s">
        <v>1</v>
      </c>
      <c r="D3" s="44" t="s">
        <v>2</v>
      </c>
      <c r="E3" s="44"/>
      <c r="F3" s="44"/>
      <c r="G3" s="44"/>
      <c r="H3" s="44"/>
      <c r="I3" s="44"/>
      <c r="J3" s="44"/>
      <c r="K3" s="44"/>
      <c r="L3" s="43" t="s">
        <v>3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</row>
    <row r="4" spans="1:29" x14ac:dyDescent="0.2">
      <c r="B4" s="43"/>
      <c r="C4" s="43"/>
      <c r="D4" s="42" t="s">
        <v>4</v>
      </c>
      <c r="E4" s="42"/>
      <c r="F4" s="42"/>
      <c r="G4" s="42"/>
      <c r="H4" s="42"/>
      <c r="I4" s="42"/>
      <c r="J4" s="42"/>
      <c r="K4" s="42"/>
      <c r="L4" s="43" t="s">
        <v>5</v>
      </c>
      <c r="M4" s="43"/>
      <c r="N4" s="43"/>
      <c r="O4" s="43"/>
      <c r="P4" s="43"/>
      <c r="Q4" s="43"/>
      <c r="R4" s="43"/>
      <c r="S4" s="43"/>
      <c r="T4" s="43" t="s">
        <v>6</v>
      </c>
      <c r="U4" s="43"/>
      <c r="V4" s="43"/>
      <c r="W4" s="43"/>
      <c r="X4" s="43"/>
      <c r="Y4" s="43"/>
      <c r="Z4" s="43"/>
      <c r="AA4" s="43"/>
      <c r="AB4" s="43"/>
      <c r="AC4" s="43"/>
    </row>
    <row r="5" spans="1:29" x14ac:dyDescent="0.2">
      <c r="B5" s="43"/>
      <c r="C5" s="43"/>
      <c r="D5" s="42" t="s">
        <v>7</v>
      </c>
      <c r="E5" s="42"/>
      <c r="F5" s="42" t="s">
        <v>8</v>
      </c>
      <c r="G5" s="42" t="s">
        <v>9</v>
      </c>
      <c r="H5" s="42" t="s">
        <v>10</v>
      </c>
      <c r="I5" s="42" t="s">
        <v>11</v>
      </c>
      <c r="J5" s="42" t="s">
        <v>12</v>
      </c>
      <c r="K5" s="42" t="s">
        <v>13</v>
      </c>
      <c r="L5" s="43" t="s">
        <v>14</v>
      </c>
      <c r="M5" s="43"/>
      <c r="N5" s="43"/>
      <c r="O5" s="43"/>
      <c r="P5" s="43"/>
      <c r="Q5" s="43"/>
      <c r="R5" s="43" t="s">
        <v>15</v>
      </c>
      <c r="S5" s="43"/>
      <c r="T5" s="43" t="s">
        <v>14</v>
      </c>
      <c r="U5" s="43"/>
      <c r="V5" s="43"/>
      <c r="W5" s="43"/>
      <c r="X5" s="43"/>
      <c r="Y5" s="43"/>
      <c r="Z5" s="43" t="s">
        <v>15</v>
      </c>
      <c r="AA5" s="43"/>
      <c r="AB5" s="43"/>
      <c r="AC5" s="43"/>
    </row>
    <row r="6" spans="1:29" x14ac:dyDescent="0.2">
      <c r="B6" s="43"/>
      <c r="C6" s="43"/>
      <c r="D6" s="42"/>
      <c r="E6" s="42"/>
      <c r="F6" s="42"/>
      <c r="G6" s="42"/>
      <c r="H6" s="42"/>
      <c r="I6" s="42"/>
      <c r="J6" s="42"/>
      <c r="K6" s="42"/>
      <c r="L6" s="42" t="s">
        <v>16</v>
      </c>
      <c r="M6" s="42"/>
      <c r="N6" s="42" t="s">
        <v>17</v>
      </c>
      <c r="O6" s="42"/>
      <c r="P6" s="43" t="s">
        <v>18</v>
      </c>
      <c r="Q6" s="43"/>
      <c r="R6" s="43" t="s">
        <v>19</v>
      </c>
      <c r="S6" s="43"/>
      <c r="T6" s="42" t="s">
        <v>16</v>
      </c>
      <c r="U6" s="42"/>
      <c r="V6" s="42" t="s">
        <v>17</v>
      </c>
      <c r="W6" s="42"/>
      <c r="X6" s="43" t="s">
        <v>18</v>
      </c>
      <c r="Y6" s="43"/>
      <c r="Z6" s="42" t="s">
        <v>20</v>
      </c>
      <c r="AA6" s="42"/>
      <c r="AB6" s="42" t="s">
        <v>8</v>
      </c>
      <c r="AC6" s="42"/>
    </row>
    <row r="7" spans="1:29" s="31" customFormat="1" ht="38.25" x14ac:dyDescent="0.25">
      <c r="A7" s="29"/>
      <c r="B7" s="43"/>
      <c r="C7" s="43"/>
      <c r="D7" s="15" t="s">
        <v>21</v>
      </c>
      <c r="E7" s="16" t="s">
        <v>22</v>
      </c>
      <c r="F7" s="42"/>
      <c r="G7" s="42"/>
      <c r="H7" s="42"/>
      <c r="I7" s="42"/>
      <c r="J7" s="42"/>
      <c r="K7" s="42"/>
      <c r="L7" s="30" t="s">
        <v>23</v>
      </c>
      <c r="M7" s="30" t="s">
        <v>24</v>
      </c>
      <c r="N7" s="30" t="s">
        <v>23</v>
      </c>
      <c r="O7" s="30" t="s">
        <v>24</v>
      </c>
      <c r="P7" s="30" t="s">
        <v>23</v>
      </c>
      <c r="Q7" s="30" t="s">
        <v>24</v>
      </c>
      <c r="R7" s="30" t="s">
        <v>23</v>
      </c>
      <c r="S7" s="30" t="s">
        <v>24</v>
      </c>
      <c r="T7" s="30" t="s">
        <v>23</v>
      </c>
      <c r="U7" s="30" t="s">
        <v>24</v>
      </c>
      <c r="V7" s="30" t="s">
        <v>23</v>
      </c>
      <c r="W7" s="30" t="s">
        <v>24</v>
      </c>
      <c r="X7" s="30" t="s">
        <v>23</v>
      </c>
      <c r="Y7" s="30" t="s">
        <v>24</v>
      </c>
      <c r="Z7" s="30" t="s">
        <v>23</v>
      </c>
      <c r="AA7" s="30" t="s">
        <v>24</v>
      </c>
      <c r="AB7" s="30" t="s">
        <v>23</v>
      </c>
      <c r="AC7" s="30" t="s">
        <v>24</v>
      </c>
    </row>
    <row r="8" spans="1:29" x14ac:dyDescent="0.2">
      <c r="B8" s="17"/>
      <c r="C8" s="17"/>
      <c r="D8" s="15">
        <v>1</v>
      </c>
      <c r="E8" s="15">
        <v>2</v>
      </c>
      <c r="F8" s="15">
        <v>3</v>
      </c>
      <c r="G8" s="15">
        <v>4</v>
      </c>
      <c r="H8" s="15">
        <v>5</v>
      </c>
      <c r="I8" s="15">
        <v>6</v>
      </c>
      <c r="J8" s="15">
        <v>7</v>
      </c>
      <c r="K8" s="15">
        <v>8</v>
      </c>
      <c r="L8" s="15">
        <v>9</v>
      </c>
      <c r="M8" s="15">
        <v>10</v>
      </c>
      <c r="N8" s="15">
        <v>11</v>
      </c>
      <c r="O8" s="15">
        <v>12</v>
      </c>
      <c r="P8" s="15">
        <v>13</v>
      </c>
      <c r="Q8" s="15">
        <v>14</v>
      </c>
      <c r="R8" s="15">
        <v>15</v>
      </c>
      <c r="S8" s="15">
        <v>16</v>
      </c>
      <c r="T8" s="15">
        <v>17</v>
      </c>
      <c r="U8" s="15">
        <v>18</v>
      </c>
      <c r="V8" s="15">
        <v>19</v>
      </c>
      <c r="W8" s="15">
        <v>20</v>
      </c>
      <c r="X8" s="15">
        <v>21</v>
      </c>
      <c r="Y8" s="15">
        <v>22</v>
      </c>
      <c r="Z8" s="15">
        <v>23</v>
      </c>
      <c r="AA8" s="15">
        <v>24</v>
      </c>
      <c r="AB8" s="15">
        <v>25</v>
      </c>
      <c r="AC8" s="15">
        <v>26</v>
      </c>
    </row>
    <row r="9" spans="1:29" x14ac:dyDescent="0.2">
      <c r="B9" s="8" t="s">
        <v>25</v>
      </c>
      <c r="C9" s="8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B10" s="8" t="s">
        <v>26</v>
      </c>
      <c r="C10" s="32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B11" s="22">
        <v>1</v>
      </c>
      <c r="C11" s="3" t="s">
        <v>27</v>
      </c>
      <c r="D11" s="4">
        <v>9115</v>
      </c>
      <c r="E11" s="4">
        <v>2495</v>
      </c>
      <c r="F11" s="4">
        <v>58214</v>
      </c>
      <c r="G11" s="4">
        <v>41327</v>
      </c>
      <c r="H11" s="4">
        <v>28126</v>
      </c>
      <c r="I11" s="4">
        <v>3343971</v>
      </c>
      <c r="J11" s="4">
        <v>3170287</v>
      </c>
      <c r="K11" s="4">
        <v>86349687</v>
      </c>
      <c r="L11" s="5">
        <v>10403313</v>
      </c>
      <c r="M11" s="5">
        <v>18188923.73635</v>
      </c>
      <c r="N11" s="5">
        <v>4083633</v>
      </c>
      <c r="O11" s="5">
        <v>16134760.94207</v>
      </c>
      <c r="P11" s="5">
        <v>0</v>
      </c>
      <c r="Q11" s="5">
        <v>0</v>
      </c>
      <c r="R11" s="5">
        <v>10965</v>
      </c>
      <c r="S11" s="5">
        <v>59737.599999999999</v>
      </c>
      <c r="T11" s="5">
        <v>2773887</v>
      </c>
      <c r="U11" s="5">
        <v>7509311.2817700002</v>
      </c>
      <c r="V11" s="5">
        <v>405388</v>
      </c>
      <c r="W11" s="5">
        <v>2231138.7218899997</v>
      </c>
      <c r="X11" s="5">
        <v>38</v>
      </c>
      <c r="Y11" s="5">
        <v>83.840999999999994</v>
      </c>
      <c r="Z11" s="5">
        <v>20901676</v>
      </c>
      <c r="AA11" s="5">
        <v>112878491.411</v>
      </c>
      <c r="AB11" s="5">
        <v>0</v>
      </c>
      <c r="AC11" s="5">
        <v>0</v>
      </c>
    </row>
    <row r="12" spans="1:29" x14ac:dyDescent="0.2">
      <c r="B12" s="22">
        <v>2</v>
      </c>
      <c r="C12" s="3" t="s">
        <v>28</v>
      </c>
      <c r="D12" s="4">
        <v>5218</v>
      </c>
      <c r="E12" s="4">
        <v>2467</v>
      </c>
      <c r="F12" s="4">
        <v>19556</v>
      </c>
      <c r="G12" s="4">
        <v>26329</v>
      </c>
      <c r="H12" s="4">
        <v>0</v>
      </c>
      <c r="I12" s="4">
        <v>1497883</v>
      </c>
      <c r="J12" s="4">
        <v>119906</v>
      </c>
      <c r="K12" s="4">
        <v>37710720</v>
      </c>
      <c r="L12" s="5">
        <v>115897</v>
      </c>
      <c r="M12" s="5">
        <v>602908.15973000007</v>
      </c>
      <c r="N12" s="5">
        <v>500888</v>
      </c>
      <c r="O12" s="5">
        <v>931430.93558000005</v>
      </c>
      <c r="P12" s="5">
        <v>0</v>
      </c>
      <c r="Q12" s="5">
        <v>0</v>
      </c>
      <c r="R12" s="5">
        <v>8141</v>
      </c>
      <c r="S12" s="5">
        <v>47647.108399999997</v>
      </c>
      <c r="T12" s="5">
        <v>1695230</v>
      </c>
      <c r="U12" s="5">
        <v>4353746.6540000001</v>
      </c>
      <c r="V12" s="5">
        <v>294981</v>
      </c>
      <c r="W12" s="5">
        <v>910285.06700000004</v>
      </c>
      <c r="X12" s="5">
        <v>0</v>
      </c>
      <c r="Y12" s="5">
        <v>0</v>
      </c>
      <c r="Z12" s="5">
        <v>13032357</v>
      </c>
      <c r="AA12" s="5">
        <v>59975510.277999997</v>
      </c>
      <c r="AB12" s="5">
        <v>0</v>
      </c>
      <c r="AC12" s="5">
        <v>0</v>
      </c>
    </row>
    <row r="13" spans="1:29" ht="16.5" customHeight="1" x14ac:dyDescent="0.2">
      <c r="B13" s="22">
        <v>3</v>
      </c>
      <c r="C13" s="6" t="s">
        <v>29</v>
      </c>
      <c r="D13" s="7">
        <v>2457</v>
      </c>
      <c r="E13" s="7">
        <v>250</v>
      </c>
      <c r="F13" s="7">
        <v>705</v>
      </c>
      <c r="G13" s="7">
        <v>7975</v>
      </c>
      <c r="H13" s="7">
        <v>355014</v>
      </c>
      <c r="I13" s="7">
        <v>967517</v>
      </c>
      <c r="J13" s="7">
        <v>0</v>
      </c>
      <c r="K13" s="7">
        <v>12117099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822613</v>
      </c>
      <c r="U13" s="5">
        <v>2099496.3912200001</v>
      </c>
      <c r="V13" s="5">
        <v>113042</v>
      </c>
      <c r="W13" s="5">
        <v>360090.05988000002</v>
      </c>
      <c r="X13" s="5">
        <v>6148</v>
      </c>
      <c r="Y13" s="5">
        <v>63992.986199999999</v>
      </c>
      <c r="Z13" s="5">
        <v>5355703</v>
      </c>
      <c r="AA13" s="5">
        <v>28799905.7141</v>
      </c>
      <c r="AB13" s="5">
        <v>0</v>
      </c>
      <c r="AC13" s="5">
        <v>0</v>
      </c>
    </row>
    <row r="14" spans="1:29" x14ac:dyDescent="0.2">
      <c r="B14" s="22">
        <v>4</v>
      </c>
      <c r="C14" s="3" t="s">
        <v>30</v>
      </c>
      <c r="D14" s="4">
        <v>8087</v>
      </c>
      <c r="E14" s="4">
        <v>3163</v>
      </c>
      <c r="F14" s="4">
        <v>91728</v>
      </c>
      <c r="G14" s="4">
        <v>12164</v>
      </c>
      <c r="H14" s="4">
        <v>0</v>
      </c>
      <c r="I14" s="4">
        <v>4209734</v>
      </c>
      <c r="J14" s="4">
        <v>1114620</v>
      </c>
      <c r="K14" s="4">
        <v>60441917</v>
      </c>
      <c r="L14" s="5">
        <v>1081477</v>
      </c>
      <c r="M14" s="5">
        <v>4725719.9326499999</v>
      </c>
      <c r="N14" s="5">
        <v>526741</v>
      </c>
      <c r="O14" s="5">
        <v>2939591.5021299999</v>
      </c>
      <c r="P14" s="5">
        <v>0</v>
      </c>
      <c r="Q14" s="5">
        <v>0</v>
      </c>
      <c r="R14" s="5">
        <v>78845</v>
      </c>
      <c r="S14" s="5">
        <v>461540.1</v>
      </c>
      <c r="T14" s="5">
        <v>4639626</v>
      </c>
      <c r="U14" s="5">
        <v>15770939.36617</v>
      </c>
      <c r="V14" s="5">
        <v>838742</v>
      </c>
      <c r="W14" s="5">
        <v>4025310.16909</v>
      </c>
      <c r="X14" s="5">
        <v>4415</v>
      </c>
      <c r="Y14" s="5">
        <v>98262.137000000002</v>
      </c>
      <c r="Z14" s="5">
        <v>26230893</v>
      </c>
      <c r="AA14" s="5">
        <v>138550621.24687999</v>
      </c>
      <c r="AB14" s="5">
        <v>9</v>
      </c>
      <c r="AC14" s="5">
        <v>11.853999999999999</v>
      </c>
    </row>
    <row r="15" spans="1:29" x14ac:dyDescent="0.2">
      <c r="B15" s="22">
        <v>5</v>
      </c>
      <c r="C15" s="3" t="s">
        <v>31</v>
      </c>
      <c r="D15" s="4">
        <v>2871</v>
      </c>
      <c r="E15" s="4">
        <v>948</v>
      </c>
      <c r="F15" s="4">
        <v>3165</v>
      </c>
      <c r="G15" s="4">
        <v>2339</v>
      </c>
      <c r="H15" s="4">
        <v>38138</v>
      </c>
      <c r="I15" s="4">
        <v>1582293</v>
      </c>
      <c r="J15" s="4">
        <v>0</v>
      </c>
      <c r="K15" s="4">
        <v>31383867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894797</v>
      </c>
      <c r="U15" s="5">
        <v>2930669.1060000001</v>
      </c>
      <c r="V15" s="5">
        <v>150881</v>
      </c>
      <c r="W15" s="5">
        <v>619617.68400000001</v>
      </c>
      <c r="X15" s="5">
        <v>0</v>
      </c>
      <c r="Y15" s="5">
        <v>0</v>
      </c>
      <c r="Z15" s="5">
        <v>7041233</v>
      </c>
      <c r="AA15" s="5">
        <v>36050818.355999999</v>
      </c>
      <c r="AB15" s="5">
        <v>2.85</v>
      </c>
      <c r="AC15" s="5">
        <v>2.8500000000000001E-3</v>
      </c>
    </row>
    <row r="16" spans="1:29" x14ac:dyDescent="0.2">
      <c r="B16" s="22">
        <v>6</v>
      </c>
      <c r="C16" s="3" t="s">
        <v>32</v>
      </c>
      <c r="D16" s="4">
        <v>5019</v>
      </c>
      <c r="E16" s="4">
        <v>649</v>
      </c>
      <c r="F16" s="4">
        <v>26892</v>
      </c>
      <c r="G16" s="4">
        <v>17061</v>
      </c>
      <c r="H16" s="4">
        <v>0</v>
      </c>
      <c r="I16" s="4">
        <v>2663281</v>
      </c>
      <c r="J16" s="4">
        <v>265974</v>
      </c>
      <c r="K16" s="4">
        <v>36829110</v>
      </c>
      <c r="L16" s="5">
        <v>161898</v>
      </c>
      <c r="M16" s="5">
        <v>812627.92508000007</v>
      </c>
      <c r="N16" s="5">
        <v>134841</v>
      </c>
      <c r="O16" s="5">
        <v>861657.06319000002</v>
      </c>
      <c r="P16" s="5">
        <v>0</v>
      </c>
      <c r="Q16" s="5">
        <v>0</v>
      </c>
      <c r="R16" s="5">
        <v>3317</v>
      </c>
      <c r="S16" s="5">
        <v>27677.98</v>
      </c>
      <c r="T16" s="5">
        <v>2179928</v>
      </c>
      <c r="U16" s="5">
        <v>6483836.2113300012</v>
      </c>
      <c r="V16" s="5">
        <v>336941</v>
      </c>
      <c r="W16" s="5">
        <v>914659.11899999995</v>
      </c>
      <c r="X16" s="5">
        <v>214</v>
      </c>
      <c r="Y16" s="5">
        <v>672.29899999999998</v>
      </c>
      <c r="Z16" s="5">
        <v>15239939</v>
      </c>
      <c r="AA16" s="5">
        <v>81555865.515639991</v>
      </c>
      <c r="AB16" s="5">
        <v>4</v>
      </c>
      <c r="AC16" s="5">
        <v>2.6</v>
      </c>
    </row>
    <row r="17" spans="2:29" x14ac:dyDescent="0.2">
      <c r="B17" s="22">
        <v>7</v>
      </c>
      <c r="C17" s="3" t="s">
        <v>33</v>
      </c>
      <c r="D17" s="4">
        <v>2928</v>
      </c>
      <c r="E17" s="4">
        <v>732</v>
      </c>
      <c r="F17" s="4">
        <v>21352</v>
      </c>
      <c r="G17" s="4">
        <v>12174</v>
      </c>
      <c r="H17" s="4">
        <v>0</v>
      </c>
      <c r="I17" s="4">
        <v>577608</v>
      </c>
      <c r="J17" s="4">
        <v>151073</v>
      </c>
      <c r="K17" s="4">
        <v>22088321</v>
      </c>
      <c r="L17" s="5">
        <v>598391</v>
      </c>
      <c r="M17" s="5">
        <v>997132.02702000004</v>
      </c>
      <c r="N17" s="5">
        <v>54582</v>
      </c>
      <c r="O17" s="5">
        <v>248747.04204</v>
      </c>
      <c r="P17" s="5">
        <v>0</v>
      </c>
      <c r="Q17" s="5">
        <v>0</v>
      </c>
      <c r="R17" s="5">
        <v>6782</v>
      </c>
      <c r="S17" s="5">
        <v>35365.699999999997</v>
      </c>
      <c r="T17" s="5">
        <v>1811648</v>
      </c>
      <c r="U17" s="5">
        <v>5117209.3866300005</v>
      </c>
      <c r="V17" s="5">
        <v>216184</v>
      </c>
      <c r="W17" s="5">
        <v>681853.42720999999</v>
      </c>
      <c r="X17" s="5">
        <v>0</v>
      </c>
      <c r="Y17" s="5">
        <v>0</v>
      </c>
      <c r="Z17" s="5">
        <v>10223620</v>
      </c>
      <c r="AA17" s="5">
        <v>50181555.893279999</v>
      </c>
      <c r="AB17" s="5">
        <v>0</v>
      </c>
      <c r="AC17" s="5">
        <v>0</v>
      </c>
    </row>
    <row r="18" spans="2:29" x14ac:dyDescent="0.2">
      <c r="B18" s="22">
        <v>8</v>
      </c>
      <c r="C18" s="3" t="s">
        <v>34</v>
      </c>
      <c r="D18" s="4">
        <v>1128</v>
      </c>
      <c r="E18" s="4">
        <v>37</v>
      </c>
      <c r="F18" s="4">
        <v>1309</v>
      </c>
      <c r="G18" s="4">
        <v>2182</v>
      </c>
      <c r="H18" s="4">
        <v>1449</v>
      </c>
      <c r="I18" s="4">
        <v>211415</v>
      </c>
      <c r="J18" s="4">
        <v>0</v>
      </c>
      <c r="K18" s="4">
        <v>3836103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39801</v>
      </c>
      <c r="U18" s="5">
        <v>141873.54</v>
      </c>
      <c r="V18" s="5">
        <v>177188</v>
      </c>
      <c r="W18" s="5">
        <v>473832.11499999999</v>
      </c>
      <c r="X18" s="5">
        <v>0</v>
      </c>
      <c r="Y18" s="5">
        <v>0</v>
      </c>
      <c r="Z18" s="5">
        <v>1194761</v>
      </c>
      <c r="AA18" s="5">
        <v>6312029.2000000002</v>
      </c>
      <c r="AB18" s="5">
        <v>0</v>
      </c>
      <c r="AC18" s="5">
        <v>0</v>
      </c>
    </row>
    <row r="19" spans="2:29" x14ac:dyDescent="0.2">
      <c r="B19" s="22">
        <v>9</v>
      </c>
      <c r="C19" s="45" t="s">
        <v>35</v>
      </c>
      <c r="D19" s="46">
        <v>7298</v>
      </c>
      <c r="E19" s="46">
        <v>3749</v>
      </c>
      <c r="F19" s="46">
        <v>27667</v>
      </c>
      <c r="G19" s="46">
        <v>0</v>
      </c>
      <c r="H19" s="46">
        <v>133003</v>
      </c>
      <c r="I19" s="46">
        <v>1060044</v>
      </c>
      <c r="J19" s="46">
        <v>879950</v>
      </c>
      <c r="K19" s="46">
        <v>41486390</v>
      </c>
      <c r="L19" s="47">
        <v>362302</v>
      </c>
      <c r="M19" s="47">
        <v>1781989.6399699999</v>
      </c>
      <c r="N19" s="48">
        <v>305905</v>
      </c>
      <c r="O19" s="47">
        <v>1613217.7093900002</v>
      </c>
      <c r="P19" s="47">
        <v>0</v>
      </c>
      <c r="Q19" s="47">
        <v>0</v>
      </c>
      <c r="R19" s="47">
        <v>5431</v>
      </c>
      <c r="S19" s="47">
        <v>18966.400000000001</v>
      </c>
      <c r="T19" s="47">
        <v>2973666</v>
      </c>
      <c r="U19" s="47">
        <v>8778370.9138999991</v>
      </c>
      <c r="V19" s="47">
        <v>651238</v>
      </c>
      <c r="W19" s="47">
        <v>1900531.3470999999</v>
      </c>
      <c r="X19" s="47">
        <v>0</v>
      </c>
      <c r="Y19" s="47">
        <v>0</v>
      </c>
      <c r="Z19" s="47">
        <v>20057319</v>
      </c>
      <c r="AA19" s="47">
        <v>109487333.40000001</v>
      </c>
      <c r="AB19" s="47">
        <v>0</v>
      </c>
      <c r="AC19" s="47">
        <v>0</v>
      </c>
    </row>
    <row r="20" spans="2:29" x14ac:dyDescent="0.2">
      <c r="B20" s="22">
        <v>10</v>
      </c>
      <c r="C20" s="3" t="s">
        <v>36</v>
      </c>
      <c r="D20" s="4">
        <v>29021</v>
      </c>
      <c r="E20" s="4">
        <v>35682</v>
      </c>
      <c r="F20" s="4">
        <v>1780272</v>
      </c>
      <c r="G20" s="4">
        <v>55201</v>
      </c>
      <c r="H20" s="4">
        <v>1048301</v>
      </c>
      <c r="I20" s="4">
        <v>6009913</v>
      </c>
      <c r="J20" s="4">
        <v>22237032</v>
      </c>
      <c r="K20" s="4">
        <v>253569165</v>
      </c>
      <c r="L20" s="5">
        <v>24286904</v>
      </c>
      <c r="M20" s="5">
        <v>130266107.25092003</v>
      </c>
      <c r="N20" s="5">
        <v>76486675</v>
      </c>
      <c r="O20" s="5">
        <v>249138178.43228012</v>
      </c>
      <c r="P20" s="5">
        <v>0</v>
      </c>
      <c r="Q20" s="5">
        <v>0</v>
      </c>
      <c r="R20" s="5">
        <v>113812</v>
      </c>
      <c r="S20" s="5">
        <v>512561.77480999997</v>
      </c>
      <c r="T20" s="5">
        <v>23921929</v>
      </c>
      <c r="U20" s="5">
        <v>70806045.603730008</v>
      </c>
      <c r="V20" s="5">
        <v>5586945</v>
      </c>
      <c r="W20" s="5">
        <v>19785745.83687</v>
      </c>
      <c r="X20" s="5">
        <v>515</v>
      </c>
      <c r="Y20" s="5">
        <v>7802.4877100000003</v>
      </c>
      <c r="Z20" s="5">
        <v>137906345</v>
      </c>
      <c r="AA20" s="5">
        <v>802418813.38753998</v>
      </c>
      <c r="AB20" s="5">
        <v>5512</v>
      </c>
      <c r="AC20" s="5">
        <v>4489.79025</v>
      </c>
    </row>
    <row r="21" spans="2:29" x14ac:dyDescent="0.2">
      <c r="B21" s="22">
        <v>11</v>
      </c>
      <c r="C21" s="3" t="s">
        <v>37</v>
      </c>
      <c r="D21" s="4">
        <v>2422</v>
      </c>
      <c r="E21" s="4">
        <v>216</v>
      </c>
      <c r="F21" s="4">
        <v>4590</v>
      </c>
      <c r="G21" s="4">
        <v>3568</v>
      </c>
      <c r="H21" s="4">
        <v>135</v>
      </c>
      <c r="I21" s="4">
        <v>1489702</v>
      </c>
      <c r="J21" s="4">
        <v>0</v>
      </c>
      <c r="K21" s="4">
        <v>14586885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670860</v>
      </c>
      <c r="U21" s="5">
        <v>2059609.6430899999</v>
      </c>
      <c r="V21" s="5">
        <v>194668</v>
      </c>
      <c r="W21" s="5">
        <v>559990.72259999998</v>
      </c>
      <c r="X21" s="5">
        <v>813</v>
      </c>
      <c r="Y21" s="5">
        <v>15914.737710000001</v>
      </c>
      <c r="Z21" s="5">
        <v>5683180</v>
      </c>
      <c r="AA21" s="5">
        <v>29006918.91406</v>
      </c>
      <c r="AB21" s="5">
        <v>22</v>
      </c>
      <c r="AC21" s="5">
        <v>8.9212399999999992</v>
      </c>
    </row>
    <row r="22" spans="2:29" x14ac:dyDescent="0.2">
      <c r="B22" s="22">
        <v>12</v>
      </c>
      <c r="C22" s="3" t="s">
        <v>38</v>
      </c>
      <c r="D22" s="4">
        <v>8001</v>
      </c>
      <c r="E22" s="4">
        <v>717</v>
      </c>
      <c r="F22" s="4">
        <v>40922</v>
      </c>
      <c r="G22" s="4">
        <v>8714</v>
      </c>
      <c r="H22" s="4">
        <v>429456</v>
      </c>
      <c r="I22" s="4">
        <v>295796</v>
      </c>
      <c r="J22" s="4">
        <v>505076</v>
      </c>
      <c r="K22" s="4">
        <v>56615955</v>
      </c>
      <c r="L22" s="5">
        <v>482786</v>
      </c>
      <c r="M22" s="5">
        <v>2441485.4177700002</v>
      </c>
      <c r="N22" s="5">
        <v>2499529</v>
      </c>
      <c r="O22" s="5">
        <v>4180221.0263</v>
      </c>
      <c r="P22" s="5">
        <v>0</v>
      </c>
      <c r="Q22" s="5">
        <v>0</v>
      </c>
      <c r="R22" s="5">
        <v>7632</v>
      </c>
      <c r="S22" s="5">
        <v>37175.825939999995</v>
      </c>
      <c r="T22" s="5">
        <v>3183716</v>
      </c>
      <c r="U22" s="5">
        <v>8749509.6239299998</v>
      </c>
      <c r="V22" s="5">
        <v>722774</v>
      </c>
      <c r="W22" s="5">
        <v>2238618.2780699995</v>
      </c>
      <c r="X22" s="5">
        <v>1716</v>
      </c>
      <c r="Y22" s="5">
        <v>6872.455109999999</v>
      </c>
      <c r="Z22" s="5">
        <v>37621707</v>
      </c>
      <c r="AA22" s="5">
        <v>117974587.55400001</v>
      </c>
      <c r="AB22" s="5">
        <v>12</v>
      </c>
      <c r="AC22" s="5">
        <v>14.4</v>
      </c>
    </row>
    <row r="23" spans="2:29" x14ac:dyDescent="0.2">
      <c r="B23" s="8" t="s">
        <v>39</v>
      </c>
      <c r="C23" s="32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 x14ac:dyDescent="0.2">
      <c r="B24" s="22">
        <v>13</v>
      </c>
      <c r="C24" s="3" t="s">
        <v>40</v>
      </c>
      <c r="D24" s="4">
        <v>6825</v>
      </c>
      <c r="E24" s="4">
        <v>5930</v>
      </c>
      <c r="F24" s="4">
        <v>2579341</v>
      </c>
      <c r="G24" s="4">
        <v>0</v>
      </c>
      <c r="H24" s="4">
        <v>507648</v>
      </c>
      <c r="I24" s="4">
        <v>124845784</v>
      </c>
      <c r="J24" s="4">
        <v>16089979</v>
      </c>
      <c r="K24" s="4">
        <v>45598453</v>
      </c>
      <c r="L24" s="5">
        <v>50198017</v>
      </c>
      <c r="M24" s="5">
        <v>106198455.12538999</v>
      </c>
      <c r="N24" s="5">
        <v>28392563</v>
      </c>
      <c r="O24" s="5">
        <v>114031350.41135</v>
      </c>
      <c r="P24" s="5">
        <v>0</v>
      </c>
      <c r="Q24" s="5">
        <v>0</v>
      </c>
      <c r="R24" s="5">
        <v>65831</v>
      </c>
      <c r="S24" s="5">
        <v>375851.6</v>
      </c>
      <c r="T24" s="5">
        <v>3077256</v>
      </c>
      <c r="U24" s="5">
        <v>14162589.910700038</v>
      </c>
      <c r="V24" s="5">
        <v>1661460</v>
      </c>
      <c r="W24" s="5">
        <v>11551350.494429998</v>
      </c>
      <c r="X24" s="5">
        <v>9249</v>
      </c>
      <c r="Y24" s="5">
        <v>242118.46</v>
      </c>
      <c r="Z24" s="5">
        <v>13982735</v>
      </c>
      <c r="AA24" s="5">
        <v>100236164.759</v>
      </c>
      <c r="AB24" s="5">
        <v>0</v>
      </c>
      <c r="AC24" s="5">
        <v>0</v>
      </c>
    </row>
    <row r="25" spans="2:29" x14ac:dyDescent="0.2">
      <c r="B25" s="22">
        <v>14</v>
      </c>
      <c r="C25" s="3" t="s">
        <v>41</v>
      </c>
      <c r="D25" s="4">
        <v>416</v>
      </c>
      <c r="E25" s="4">
        <v>5</v>
      </c>
      <c r="F25" s="4">
        <v>73601</v>
      </c>
      <c r="G25" s="4">
        <v>0</v>
      </c>
      <c r="H25" s="4">
        <v>48792</v>
      </c>
      <c r="I25" s="4">
        <v>0</v>
      </c>
      <c r="J25" s="4">
        <v>15314</v>
      </c>
      <c r="K25" s="4">
        <v>6471569</v>
      </c>
      <c r="L25" s="5">
        <v>64914</v>
      </c>
      <c r="M25" s="5">
        <v>90935.230379999761</v>
      </c>
      <c r="N25" s="5">
        <v>3873</v>
      </c>
      <c r="O25" s="5">
        <v>26501.344460000033</v>
      </c>
      <c r="P25" s="5">
        <v>0</v>
      </c>
      <c r="Q25" s="5">
        <v>0</v>
      </c>
      <c r="R25" s="5">
        <v>282</v>
      </c>
      <c r="S25" s="5">
        <v>1469.6</v>
      </c>
      <c r="T25" s="5">
        <v>155422</v>
      </c>
      <c r="U25" s="5">
        <v>668987.84560999984</v>
      </c>
      <c r="V25" s="5">
        <v>43607</v>
      </c>
      <c r="W25" s="5">
        <v>204259.22208999994</v>
      </c>
      <c r="X25" s="5">
        <v>0</v>
      </c>
      <c r="Y25" s="5">
        <v>0</v>
      </c>
      <c r="Z25" s="5">
        <v>1705654</v>
      </c>
      <c r="AA25" s="5">
        <v>10435394.625</v>
      </c>
      <c r="AB25" s="5">
        <v>14</v>
      </c>
      <c r="AC25" s="5">
        <v>9</v>
      </c>
    </row>
    <row r="26" spans="2:29" x14ac:dyDescent="0.2">
      <c r="B26" s="22">
        <v>15</v>
      </c>
      <c r="C26" s="3" t="s">
        <v>42</v>
      </c>
      <c r="D26" s="4">
        <v>1302</v>
      </c>
      <c r="E26" s="4">
        <v>491</v>
      </c>
      <c r="F26" s="4">
        <v>6630</v>
      </c>
      <c r="G26" s="4">
        <v>28161</v>
      </c>
      <c r="H26" s="4">
        <v>0</v>
      </c>
      <c r="I26" s="4">
        <v>69674</v>
      </c>
      <c r="J26" s="4">
        <v>52325</v>
      </c>
      <c r="K26" s="4">
        <v>3387219</v>
      </c>
      <c r="L26" s="5">
        <v>53439</v>
      </c>
      <c r="M26" s="5">
        <v>291799.78290999943</v>
      </c>
      <c r="N26" s="5">
        <v>29333</v>
      </c>
      <c r="O26" s="5">
        <v>305553.31806999922</v>
      </c>
      <c r="P26" s="5">
        <v>0</v>
      </c>
      <c r="Q26" s="5">
        <v>0</v>
      </c>
      <c r="R26" s="5">
        <v>169</v>
      </c>
      <c r="S26" s="5">
        <v>1189.0058200000001</v>
      </c>
      <c r="T26" s="5">
        <v>347564</v>
      </c>
      <c r="U26" s="5">
        <v>1345434.8982500001</v>
      </c>
      <c r="V26" s="5">
        <v>32561</v>
      </c>
      <c r="W26" s="5">
        <v>104158.52409000001</v>
      </c>
      <c r="X26" s="5">
        <v>0</v>
      </c>
      <c r="Y26" s="5">
        <v>0</v>
      </c>
      <c r="Z26" s="5">
        <v>1836389</v>
      </c>
      <c r="AA26" s="5">
        <v>11717830.7509</v>
      </c>
      <c r="AB26" s="5">
        <v>0</v>
      </c>
      <c r="AC26" s="5">
        <v>0</v>
      </c>
    </row>
    <row r="27" spans="2:29" x14ac:dyDescent="0.2">
      <c r="B27" s="22">
        <v>16</v>
      </c>
      <c r="C27" s="3" t="s">
        <v>43</v>
      </c>
      <c r="D27" s="4">
        <v>798</v>
      </c>
      <c r="E27" s="4">
        <v>37</v>
      </c>
      <c r="F27" s="4">
        <v>0</v>
      </c>
      <c r="G27" s="4">
        <v>0</v>
      </c>
      <c r="H27" s="4">
        <v>19639</v>
      </c>
      <c r="I27" s="4">
        <v>0</v>
      </c>
      <c r="J27" s="4">
        <v>194936</v>
      </c>
      <c r="K27" s="4">
        <v>964197</v>
      </c>
      <c r="L27" s="5">
        <v>171344</v>
      </c>
      <c r="M27" s="5">
        <v>570302.90782999992</v>
      </c>
      <c r="N27" s="5">
        <v>2089974</v>
      </c>
      <c r="O27" s="5">
        <v>1820377.47648</v>
      </c>
      <c r="P27" s="5">
        <v>0</v>
      </c>
      <c r="Q27" s="5">
        <v>0</v>
      </c>
      <c r="R27" s="5">
        <v>0</v>
      </c>
      <c r="S27" s="5">
        <v>0</v>
      </c>
      <c r="T27" s="5">
        <v>88576</v>
      </c>
      <c r="U27" s="5">
        <v>277703.35729000001</v>
      </c>
      <c r="V27" s="5">
        <v>6202</v>
      </c>
      <c r="W27" s="5">
        <v>37437.069680000001</v>
      </c>
      <c r="X27" s="5">
        <v>0</v>
      </c>
      <c r="Y27" s="5">
        <v>0</v>
      </c>
      <c r="Z27" s="5">
        <v>333169</v>
      </c>
      <c r="AA27" s="5">
        <v>1990860.4</v>
      </c>
      <c r="AB27" s="5">
        <v>0</v>
      </c>
      <c r="AC27" s="5">
        <v>0</v>
      </c>
    </row>
    <row r="28" spans="2:29" x14ac:dyDescent="0.2">
      <c r="B28" s="22">
        <v>17</v>
      </c>
      <c r="C28" s="3" t="s">
        <v>44</v>
      </c>
      <c r="D28" s="4">
        <v>441</v>
      </c>
      <c r="E28" s="4">
        <v>4</v>
      </c>
      <c r="F28" s="4">
        <v>0</v>
      </c>
      <c r="G28" s="4">
        <v>0</v>
      </c>
      <c r="H28" s="4">
        <v>0</v>
      </c>
      <c r="I28" s="4">
        <v>0</v>
      </c>
      <c r="J28" s="4">
        <v>18851</v>
      </c>
      <c r="K28" s="4">
        <v>1392451</v>
      </c>
      <c r="L28" s="5">
        <v>5249</v>
      </c>
      <c r="M28" s="5">
        <v>17200.49173999999</v>
      </c>
      <c r="N28" s="5">
        <v>10286</v>
      </c>
      <c r="O28" s="5">
        <v>29730.515639999976</v>
      </c>
      <c r="P28" s="5">
        <v>20726</v>
      </c>
      <c r="Q28" s="5">
        <v>12498.785910000004</v>
      </c>
      <c r="R28" s="5">
        <v>52</v>
      </c>
      <c r="S28" s="5">
        <v>268.7</v>
      </c>
      <c r="T28" s="5">
        <v>67546</v>
      </c>
      <c r="U28" s="5">
        <v>243984.44438999999</v>
      </c>
      <c r="V28" s="5">
        <v>52554</v>
      </c>
      <c r="W28" s="5">
        <v>218004.17066999999</v>
      </c>
      <c r="X28" s="5">
        <v>171</v>
      </c>
      <c r="Y28" s="5">
        <v>5423.9889999999996</v>
      </c>
      <c r="Z28" s="5">
        <v>238814</v>
      </c>
      <c r="AA28" s="5">
        <v>1738386.8489999999</v>
      </c>
      <c r="AB28" s="5">
        <v>0</v>
      </c>
      <c r="AC28" s="5">
        <v>0</v>
      </c>
    </row>
    <row r="29" spans="2:29" x14ac:dyDescent="0.2">
      <c r="B29" s="22">
        <v>18</v>
      </c>
      <c r="C29" s="3" t="s">
        <v>45</v>
      </c>
      <c r="D29" s="4">
        <v>246</v>
      </c>
      <c r="E29" s="4">
        <v>37</v>
      </c>
      <c r="F29" s="4">
        <v>1611</v>
      </c>
      <c r="G29" s="4">
        <v>0</v>
      </c>
      <c r="H29" s="4">
        <v>0</v>
      </c>
      <c r="I29" s="4">
        <v>44035</v>
      </c>
      <c r="J29" s="4">
        <v>10972</v>
      </c>
      <c r="K29" s="4">
        <v>623342</v>
      </c>
      <c r="L29" s="5">
        <v>21556</v>
      </c>
      <c r="M29" s="5">
        <v>55324.720909999996</v>
      </c>
      <c r="N29" s="5">
        <v>6978</v>
      </c>
      <c r="O29" s="5">
        <v>27505.25246</v>
      </c>
      <c r="P29" s="5">
        <v>0</v>
      </c>
      <c r="Q29" s="5">
        <v>0</v>
      </c>
      <c r="R29" s="5">
        <v>295</v>
      </c>
      <c r="S29" s="5">
        <v>1015.7</v>
      </c>
      <c r="T29" s="5">
        <v>99561</v>
      </c>
      <c r="U29" s="5">
        <v>237787.39774000001</v>
      </c>
      <c r="V29" s="5">
        <v>3062</v>
      </c>
      <c r="W29" s="5">
        <v>7773.9676299999992</v>
      </c>
      <c r="X29" s="5">
        <v>0</v>
      </c>
      <c r="Y29" s="5">
        <v>0</v>
      </c>
      <c r="Z29" s="5">
        <v>358049</v>
      </c>
      <c r="AA29" s="5">
        <v>1708856.6121599998</v>
      </c>
      <c r="AB29" s="5">
        <v>0</v>
      </c>
      <c r="AC29" s="5">
        <v>0</v>
      </c>
    </row>
    <row r="30" spans="2:29" x14ac:dyDescent="0.2">
      <c r="B30" s="22">
        <v>19</v>
      </c>
      <c r="C30" s="3" t="s">
        <v>46</v>
      </c>
      <c r="D30" s="4">
        <v>1841</v>
      </c>
      <c r="E30" s="4">
        <v>288</v>
      </c>
      <c r="F30" s="4">
        <v>27567</v>
      </c>
      <c r="G30" s="4">
        <v>1510</v>
      </c>
      <c r="H30" s="4">
        <v>0</v>
      </c>
      <c r="I30" s="4">
        <v>6381932</v>
      </c>
      <c r="J30" s="4">
        <v>2325852</v>
      </c>
      <c r="K30" s="4">
        <v>13946910</v>
      </c>
      <c r="L30" s="5">
        <v>4050688</v>
      </c>
      <c r="M30" s="5">
        <v>10589838.173779998</v>
      </c>
      <c r="N30" s="5">
        <v>6539329</v>
      </c>
      <c r="O30" s="5">
        <v>14535871.568360001</v>
      </c>
      <c r="P30" s="5">
        <v>0</v>
      </c>
      <c r="Q30" s="5">
        <v>0</v>
      </c>
      <c r="R30" s="5">
        <v>6051</v>
      </c>
      <c r="S30" s="5">
        <v>30471.727509999997</v>
      </c>
      <c r="T30" s="5">
        <v>1978362</v>
      </c>
      <c r="U30" s="5">
        <v>7094830.6427799994</v>
      </c>
      <c r="V30" s="5">
        <v>953304</v>
      </c>
      <c r="W30" s="5">
        <v>3947931.8982899999</v>
      </c>
      <c r="X30" s="5">
        <v>3226</v>
      </c>
      <c r="Y30" s="5">
        <v>48792.550409999996</v>
      </c>
      <c r="Z30" s="5">
        <v>6174528</v>
      </c>
      <c r="AA30" s="5">
        <v>35460689.419</v>
      </c>
      <c r="AB30" s="5">
        <v>0</v>
      </c>
      <c r="AC30" s="5">
        <v>0</v>
      </c>
    </row>
    <row r="31" spans="2:29" x14ac:dyDescent="0.2">
      <c r="B31" s="22">
        <v>20</v>
      </c>
      <c r="C31" s="3" t="s">
        <v>47</v>
      </c>
      <c r="D31" s="4">
        <v>13112</v>
      </c>
      <c r="E31" s="4">
        <v>7993</v>
      </c>
      <c r="F31" s="4">
        <v>1813022</v>
      </c>
      <c r="G31" s="4">
        <v>1751</v>
      </c>
      <c r="H31" s="4">
        <v>2243488</v>
      </c>
      <c r="I31" s="4">
        <v>1177324</v>
      </c>
      <c r="J31" s="4">
        <v>26441040</v>
      </c>
      <c r="K31" s="4">
        <v>63089156</v>
      </c>
      <c r="L31" s="5">
        <v>102952980</v>
      </c>
      <c r="M31" s="5">
        <v>209344277.73787999</v>
      </c>
      <c r="N31" s="5">
        <v>40927193</v>
      </c>
      <c r="O31" s="5">
        <v>371717963.73886001</v>
      </c>
      <c r="P31" s="5">
        <v>0</v>
      </c>
      <c r="Q31" s="5">
        <v>0</v>
      </c>
      <c r="R31" s="5">
        <v>155344</v>
      </c>
      <c r="S31" s="5">
        <v>1082144.44254</v>
      </c>
      <c r="T31" s="5">
        <v>6665302</v>
      </c>
      <c r="U31" s="5">
        <v>35282857.164310008</v>
      </c>
      <c r="V31" s="5">
        <v>5775976</v>
      </c>
      <c r="W31" s="5">
        <v>35095432.89320001</v>
      </c>
      <c r="X31" s="5">
        <v>40950</v>
      </c>
      <c r="Y31" s="5">
        <v>1021805.02241</v>
      </c>
      <c r="Z31" s="5">
        <v>27642660</v>
      </c>
      <c r="AA31" s="5">
        <v>208700006.542</v>
      </c>
      <c r="AB31" s="5">
        <v>12</v>
      </c>
      <c r="AC31" s="5">
        <v>18.55</v>
      </c>
    </row>
    <row r="32" spans="2:29" x14ac:dyDescent="0.2">
      <c r="B32" s="22">
        <v>21</v>
      </c>
      <c r="C32" s="3" t="s">
        <v>48</v>
      </c>
      <c r="D32" s="4">
        <v>9619</v>
      </c>
      <c r="E32" s="4">
        <v>2489</v>
      </c>
      <c r="F32" s="4">
        <v>1725141</v>
      </c>
      <c r="G32" s="4">
        <v>8583</v>
      </c>
      <c r="H32" s="4">
        <v>378854</v>
      </c>
      <c r="I32" s="4">
        <v>3821324</v>
      </c>
      <c r="J32" s="4">
        <v>19202915</v>
      </c>
      <c r="K32" s="4">
        <v>31683151</v>
      </c>
      <c r="L32" s="5">
        <v>16371017</v>
      </c>
      <c r="M32" s="5">
        <v>92188953.864790231</v>
      </c>
      <c r="N32" s="5">
        <v>77714172</v>
      </c>
      <c r="O32" s="5">
        <v>232802178.39698923</v>
      </c>
      <c r="P32" s="5">
        <v>79</v>
      </c>
      <c r="Q32" s="5">
        <v>8466.5</v>
      </c>
      <c r="R32" s="5">
        <v>46660</v>
      </c>
      <c r="S32" s="5">
        <v>251884.99600000001</v>
      </c>
      <c r="T32" s="5">
        <v>3583259</v>
      </c>
      <c r="U32" s="5">
        <v>21674374.00981015</v>
      </c>
      <c r="V32" s="5">
        <v>2907245</v>
      </c>
      <c r="W32" s="5">
        <v>20753288.513169855</v>
      </c>
      <c r="X32" s="5">
        <v>3334</v>
      </c>
      <c r="Y32" s="5">
        <v>76178.976999999999</v>
      </c>
      <c r="Z32" s="5">
        <v>10645639</v>
      </c>
      <c r="AA32" s="5">
        <v>91370367.417999998</v>
      </c>
      <c r="AB32" s="5">
        <v>0</v>
      </c>
      <c r="AC32" s="5">
        <v>0</v>
      </c>
    </row>
    <row r="33" spans="2:29" x14ac:dyDescent="0.2">
      <c r="B33" s="22">
        <v>22</v>
      </c>
      <c r="C33" s="3" t="s">
        <v>49</v>
      </c>
      <c r="D33" s="4">
        <v>2443</v>
      </c>
      <c r="E33" s="4">
        <v>587</v>
      </c>
      <c r="F33" s="4">
        <v>13593</v>
      </c>
      <c r="G33" s="4">
        <v>2624</v>
      </c>
      <c r="H33" s="4">
        <v>0</v>
      </c>
      <c r="I33" s="4">
        <v>637577</v>
      </c>
      <c r="J33" s="4">
        <v>49427</v>
      </c>
      <c r="K33" s="4">
        <v>11436040</v>
      </c>
      <c r="L33" s="5">
        <v>77103</v>
      </c>
      <c r="M33" s="5">
        <v>395255.951920008</v>
      </c>
      <c r="N33" s="5">
        <v>79701</v>
      </c>
      <c r="O33" s="5">
        <v>324233.15087000001</v>
      </c>
      <c r="P33" s="5">
        <v>0</v>
      </c>
      <c r="Q33" s="5">
        <v>0</v>
      </c>
      <c r="R33" s="5">
        <v>486</v>
      </c>
      <c r="S33" s="5">
        <v>2795.5567199999996</v>
      </c>
      <c r="T33" s="5">
        <v>749536</v>
      </c>
      <c r="U33" s="5">
        <v>2163435.86</v>
      </c>
      <c r="V33" s="5">
        <v>145240</v>
      </c>
      <c r="W33" s="5">
        <v>514052.60619999998</v>
      </c>
      <c r="X33" s="5">
        <v>0</v>
      </c>
      <c r="Y33" s="5">
        <v>0</v>
      </c>
      <c r="Z33" s="5">
        <v>4044549</v>
      </c>
      <c r="AA33" s="5">
        <v>24073727.953000002</v>
      </c>
      <c r="AB33" s="5">
        <v>73</v>
      </c>
      <c r="AC33" s="5">
        <v>34.792000000000002</v>
      </c>
    </row>
    <row r="34" spans="2:29" x14ac:dyDescent="0.2">
      <c r="B34" s="22">
        <v>23</v>
      </c>
      <c r="C34" s="3" t="s">
        <v>50</v>
      </c>
      <c r="D34" s="4">
        <v>879</v>
      </c>
      <c r="E34" s="4">
        <v>186</v>
      </c>
      <c r="F34" s="4">
        <v>36111</v>
      </c>
      <c r="G34" s="4">
        <v>6539</v>
      </c>
      <c r="H34" s="4">
        <v>0</v>
      </c>
      <c r="I34" s="4">
        <v>256184</v>
      </c>
      <c r="J34" s="4">
        <v>4630900</v>
      </c>
      <c r="K34" s="4">
        <v>7030835</v>
      </c>
      <c r="L34" s="5">
        <v>17028744</v>
      </c>
      <c r="M34" s="5">
        <v>26776202.120999999</v>
      </c>
      <c r="N34" s="5">
        <v>3052820</v>
      </c>
      <c r="O34" s="5">
        <v>20283179.228999998</v>
      </c>
      <c r="P34" s="5">
        <v>0</v>
      </c>
      <c r="Q34" s="5">
        <v>0</v>
      </c>
      <c r="R34" s="5">
        <v>22523</v>
      </c>
      <c r="S34" s="5">
        <v>121816.1</v>
      </c>
      <c r="T34" s="5">
        <v>493000</v>
      </c>
      <c r="U34" s="5">
        <v>2230838.6526899999</v>
      </c>
      <c r="V34" s="5">
        <v>372539</v>
      </c>
      <c r="W34" s="5">
        <v>2534267.6164000002</v>
      </c>
      <c r="X34" s="5">
        <v>0</v>
      </c>
      <c r="Y34" s="5">
        <v>0</v>
      </c>
      <c r="Z34" s="5">
        <v>2738987</v>
      </c>
      <c r="AA34" s="5">
        <v>17326413.045000002</v>
      </c>
      <c r="AB34" s="5">
        <v>0</v>
      </c>
      <c r="AC34" s="5">
        <v>0</v>
      </c>
    </row>
    <row r="35" spans="2:29" x14ac:dyDescent="0.2">
      <c r="B35" s="22">
        <v>24</v>
      </c>
      <c r="C35" s="3" t="s">
        <v>51</v>
      </c>
      <c r="D35" s="4">
        <v>2116</v>
      </c>
      <c r="E35" s="4">
        <v>755</v>
      </c>
      <c r="F35" s="4">
        <v>112107</v>
      </c>
      <c r="G35" s="4">
        <v>0</v>
      </c>
      <c r="H35" s="4">
        <v>12165</v>
      </c>
      <c r="I35" s="4">
        <v>6986478</v>
      </c>
      <c r="J35" s="4">
        <v>3002089</v>
      </c>
      <c r="K35" s="4">
        <v>12093722</v>
      </c>
      <c r="L35" s="5">
        <v>2355070</v>
      </c>
      <c r="M35" s="5">
        <v>15452826.214</v>
      </c>
      <c r="N35" s="5">
        <v>10047517</v>
      </c>
      <c r="O35" s="5">
        <v>29973013.653999999</v>
      </c>
      <c r="P35" s="5">
        <v>0</v>
      </c>
      <c r="Q35" s="5">
        <v>0</v>
      </c>
      <c r="R35" s="5">
        <v>15823</v>
      </c>
      <c r="S35" s="5">
        <v>87210.548999999999</v>
      </c>
      <c r="T35" s="5">
        <v>446395</v>
      </c>
      <c r="U35" s="5">
        <v>1751661.3370000001</v>
      </c>
      <c r="V35" s="5">
        <v>439984</v>
      </c>
      <c r="W35" s="5">
        <v>2091565.7849999999</v>
      </c>
      <c r="X35" s="5">
        <v>771</v>
      </c>
      <c r="Y35" s="5">
        <v>83372.790840000001</v>
      </c>
      <c r="Z35" s="5">
        <v>2887611</v>
      </c>
      <c r="AA35" s="5">
        <v>17305559.469000001</v>
      </c>
      <c r="AB35" s="5">
        <v>0</v>
      </c>
      <c r="AC35" s="5">
        <v>0</v>
      </c>
    </row>
    <row r="36" spans="2:29" x14ac:dyDescent="0.2">
      <c r="B36" s="22">
        <v>25</v>
      </c>
      <c r="C36" s="3" t="s">
        <v>52</v>
      </c>
      <c r="D36" s="4">
        <v>970</v>
      </c>
      <c r="E36" s="4">
        <v>644</v>
      </c>
      <c r="F36" s="4">
        <v>14023</v>
      </c>
      <c r="G36" s="4">
        <v>1418</v>
      </c>
      <c r="H36" s="4">
        <v>0</v>
      </c>
      <c r="I36" s="4">
        <v>638666</v>
      </c>
      <c r="J36" s="4">
        <v>144077</v>
      </c>
      <c r="K36" s="4">
        <v>5266663</v>
      </c>
      <c r="L36" s="5">
        <v>385159</v>
      </c>
      <c r="M36" s="5">
        <v>1815844.49814</v>
      </c>
      <c r="N36" s="5">
        <v>81379</v>
      </c>
      <c r="O36" s="5">
        <v>365784.01949999999</v>
      </c>
      <c r="P36" s="5">
        <v>0</v>
      </c>
      <c r="Q36" s="5">
        <v>0</v>
      </c>
      <c r="R36" s="5">
        <v>9874</v>
      </c>
      <c r="S36" s="5">
        <v>44351.042030000004</v>
      </c>
      <c r="T36" s="5">
        <v>506951</v>
      </c>
      <c r="U36" s="5">
        <v>1447120.4288299999</v>
      </c>
      <c r="V36" s="5">
        <v>352511</v>
      </c>
      <c r="W36" s="5">
        <v>417361.82283000002</v>
      </c>
      <c r="X36" s="5">
        <v>0</v>
      </c>
      <c r="Y36" s="5">
        <v>0</v>
      </c>
      <c r="Z36" s="5">
        <v>4461257</v>
      </c>
      <c r="AA36" s="5">
        <v>25580901.425000001</v>
      </c>
      <c r="AB36" s="5">
        <v>0</v>
      </c>
      <c r="AC36" s="5">
        <v>0</v>
      </c>
    </row>
    <row r="37" spans="2:29" x14ac:dyDescent="0.2">
      <c r="B37" s="22">
        <v>26</v>
      </c>
      <c r="C37" s="3" t="s">
        <v>53</v>
      </c>
      <c r="D37" s="4">
        <v>976</v>
      </c>
      <c r="E37" s="4">
        <v>496</v>
      </c>
      <c r="F37" s="4">
        <v>9036</v>
      </c>
      <c r="G37" s="4">
        <v>0</v>
      </c>
      <c r="H37" s="4">
        <v>0</v>
      </c>
      <c r="I37" s="4">
        <v>145625</v>
      </c>
      <c r="J37" s="4">
        <v>0</v>
      </c>
      <c r="K37" s="4">
        <v>5577832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541785</v>
      </c>
      <c r="U37" s="5">
        <v>1324008.3585399999</v>
      </c>
      <c r="V37" s="5">
        <v>41549</v>
      </c>
      <c r="W37" s="5">
        <v>160354.90919999999</v>
      </c>
      <c r="X37" s="5">
        <v>0</v>
      </c>
      <c r="Y37" s="5">
        <v>0</v>
      </c>
      <c r="Z37" s="5">
        <v>2997008</v>
      </c>
      <c r="AA37" s="5">
        <v>15986275.909</v>
      </c>
      <c r="AB37" s="5">
        <v>0</v>
      </c>
      <c r="AC37" s="5">
        <v>0</v>
      </c>
    </row>
    <row r="38" spans="2:29" x14ac:dyDescent="0.2">
      <c r="B38" s="22">
        <v>27</v>
      </c>
      <c r="C38" s="3" t="s">
        <v>54</v>
      </c>
      <c r="D38" s="4">
        <v>1591</v>
      </c>
      <c r="E38" s="4">
        <v>598</v>
      </c>
      <c r="F38" s="4">
        <v>6685</v>
      </c>
      <c r="G38" s="4">
        <v>162</v>
      </c>
      <c r="H38" s="4">
        <v>47248</v>
      </c>
      <c r="I38" s="4">
        <v>7379</v>
      </c>
      <c r="J38" s="4">
        <v>9510</v>
      </c>
      <c r="K38" s="4">
        <v>5310110</v>
      </c>
      <c r="L38" s="5">
        <v>19051</v>
      </c>
      <c r="M38" s="5">
        <v>137494.45022</v>
      </c>
      <c r="N38" s="5">
        <v>8101</v>
      </c>
      <c r="O38" s="5">
        <v>112189.81401</v>
      </c>
      <c r="P38" s="5">
        <v>0</v>
      </c>
      <c r="Q38" s="5">
        <v>0</v>
      </c>
      <c r="R38" s="5">
        <v>436</v>
      </c>
      <c r="S38" s="5">
        <v>3390.3</v>
      </c>
      <c r="T38" s="5">
        <v>636246</v>
      </c>
      <c r="U38" s="5">
        <v>2028682.129820002</v>
      </c>
      <c r="V38" s="5">
        <v>90348</v>
      </c>
      <c r="W38" s="5">
        <v>452087.10069000005</v>
      </c>
      <c r="X38" s="5">
        <v>0</v>
      </c>
      <c r="Y38" s="5">
        <v>0</v>
      </c>
      <c r="Z38" s="5">
        <v>3157205</v>
      </c>
      <c r="AA38" s="5">
        <v>17668589.024489999</v>
      </c>
      <c r="AB38" s="5">
        <v>0</v>
      </c>
      <c r="AC38" s="5">
        <v>0</v>
      </c>
    </row>
    <row r="39" spans="2:29" x14ac:dyDescent="0.2">
      <c r="B39" s="22">
        <v>28</v>
      </c>
      <c r="C39" s="3" t="s">
        <v>55</v>
      </c>
      <c r="D39" s="4">
        <v>2052</v>
      </c>
      <c r="E39" s="4">
        <v>661</v>
      </c>
      <c r="F39" s="4">
        <v>73655</v>
      </c>
      <c r="G39" s="4">
        <v>0</v>
      </c>
      <c r="H39" s="4">
        <v>177346</v>
      </c>
      <c r="I39" s="4">
        <v>732063</v>
      </c>
      <c r="J39" s="4">
        <v>4697915</v>
      </c>
      <c r="K39" s="4">
        <v>36606764</v>
      </c>
      <c r="L39" s="5">
        <v>15855964</v>
      </c>
      <c r="M39" s="5">
        <v>28304117.729599997</v>
      </c>
      <c r="N39" s="5">
        <v>4133933</v>
      </c>
      <c r="O39" s="5">
        <v>32135160.959990002</v>
      </c>
      <c r="P39" s="5">
        <v>0</v>
      </c>
      <c r="Q39" s="5">
        <v>0</v>
      </c>
      <c r="R39" s="5">
        <v>28732</v>
      </c>
      <c r="S39" s="5">
        <v>159897.86418999999</v>
      </c>
      <c r="T39" s="5">
        <v>1631750</v>
      </c>
      <c r="U39" s="5">
        <v>5195009.34</v>
      </c>
      <c r="V39" s="5">
        <v>2134110</v>
      </c>
      <c r="W39" s="5">
        <v>7257019.5880000005</v>
      </c>
      <c r="X39" s="5">
        <v>0</v>
      </c>
      <c r="Y39" s="5">
        <v>0</v>
      </c>
      <c r="Z39" s="5">
        <v>8487878</v>
      </c>
      <c r="AA39" s="5">
        <v>50457324.427830026</v>
      </c>
      <c r="AB39" s="5">
        <v>0</v>
      </c>
      <c r="AC39" s="5">
        <v>0</v>
      </c>
    </row>
    <row r="40" spans="2:29" x14ac:dyDescent="0.2">
      <c r="B40" s="22">
        <v>29</v>
      </c>
      <c r="C40" s="3" t="s">
        <v>56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259</v>
      </c>
      <c r="J40" s="4">
        <v>0</v>
      </c>
      <c r="K40" s="4">
        <v>154781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10837</v>
      </c>
      <c r="U40" s="5">
        <v>22046.298999999999</v>
      </c>
      <c r="V40" s="5">
        <v>3403</v>
      </c>
      <c r="W40" s="5">
        <v>10376.021000000001</v>
      </c>
      <c r="X40" s="5">
        <v>0</v>
      </c>
      <c r="Y40" s="5">
        <v>0</v>
      </c>
      <c r="Z40" s="5">
        <v>55891</v>
      </c>
      <c r="AA40" s="5">
        <v>300123.88</v>
      </c>
      <c r="AB40" s="5">
        <v>0</v>
      </c>
      <c r="AC40" s="5">
        <v>0</v>
      </c>
    </row>
    <row r="41" spans="2:29" x14ac:dyDescent="0.2">
      <c r="B41" s="22">
        <v>30</v>
      </c>
      <c r="C41" s="3" t="s">
        <v>57</v>
      </c>
      <c r="D41" s="4">
        <v>385</v>
      </c>
      <c r="E41" s="4">
        <v>27</v>
      </c>
      <c r="F41" s="4">
        <v>2728601</v>
      </c>
      <c r="G41" s="4">
        <v>0</v>
      </c>
      <c r="H41" s="4">
        <v>1595</v>
      </c>
      <c r="I41" s="4">
        <v>52447</v>
      </c>
      <c r="J41" s="4">
        <v>4625314</v>
      </c>
      <c r="K41" s="4">
        <v>1630440</v>
      </c>
      <c r="L41" s="5">
        <v>4122396</v>
      </c>
      <c r="M41" s="5">
        <v>24713873.991299998</v>
      </c>
      <c r="N41" s="5">
        <v>6769572</v>
      </c>
      <c r="O41" s="5">
        <v>43669218.396960005</v>
      </c>
      <c r="P41" s="5">
        <v>0</v>
      </c>
      <c r="Q41" s="5">
        <v>0</v>
      </c>
      <c r="R41" s="5">
        <v>30677</v>
      </c>
      <c r="S41" s="5">
        <v>164397.43875</v>
      </c>
      <c r="T41" s="5">
        <v>95998</v>
      </c>
      <c r="U41" s="5">
        <v>381491.82609999995</v>
      </c>
      <c r="V41" s="5">
        <v>67164</v>
      </c>
      <c r="W41" s="5">
        <v>442196.04635000002</v>
      </c>
      <c r="X41" s="5">
        <v>49</v>
      </c>
      <c r="Y41" s="5">
        <v>6787.1149999999998</v>
      </c>
      <c r="Z41" s="5">
        <v>345113</v>
      </c>
      <c r="AA41" s="5">
        <v>2086096.8306400001</v>
      </c>
      <c r="AB41" s="5">
        <v>0</v>
      </c>
      <c r="AC41" s="5">
        <v>0</v>
      </c>
    </row>
    <row r="42" spans="2:29" x14ac:dyDescent="0.2">
      <c r="B42" s="22">
        <v>31</v>
      </c>
      <c r="C42" s="3" t="s">
        <v>58</v>
      </c>
      <c r="D42" s="4">
        <v>913</v>
      </c>
      <c r="E42" s="4">
        <v>360</v>
      </c>
      <c r="F42" s="4">
        <v>13897</v>
      </c>
      <c r="G42" s="4">
        <v>0</v>
      </c>
      <c r="H42" s="4">
        <v>34018</v>
      </c>
      <c r="I42" s="4">
        <v>117729</v>
      </c>
      <c r="J42" s="4">
        <v>340149</v>
      </c>
      <c r="K42" s="4">
        <v>4168779</v>
      </c>
      <c r="L42" s="5">
        <v>415296</v>
      </c>
      <c r="M42" s="5">
        <v>1950266.8953199999</v>
      </c>
      <c r="N42" s="5">
        <v>595311</v>
      </c>
      <c r="O42" s="5">
        <v>2806321.58237</v>
      </c>
      <c r="P42" s="5">
        <v>0</v>
      </c>
      <c r="Q42" s="5">
        <v>0</v>
      </c>
      <c r="R42" s="5">
        <v>0</v>
      </c>
      <c r="S42" s="5">
        <v>0</v>
      </c>
      <c r="T42" s="5">
        <v>695691</v>
      </c>
      <c r="U42" s="5">
        <v>2355691.4879200002</v>
      </c>
      <c r="V42" s="5">
        <v>138786</v>
      </c>
      <c r="W42" s="5">
        <v>823005.04400999995</v>
      </c>
      <c r="X42" s="5">
        <v>0</v>
      </c>
      <c r="Y42" s="5">
        <v>0</v>
      </c>
      <c r="Z42" s="5">
        <v>2209135</v>
      </c>
      <c r="AA42" s="5">
        <v>12316537.999</v>
      </c>
      <c r="AB42" s="5">
        <v>0</v>
      </c>
      <c r="AC42" s="5">
        <v>0</v>
      </c>
    </row>
    <row r="43" spans="2:29" x14ac:dyDescent="0.2">
      <c r="B43" s="22">
        <v>32</v>
      </c>
      <c r="C43" s="3" t="s">
        <v>59</v>
      </c>
      <c r="D43" s="4">
        <v>510</v>
      </c>
      <c r="E43" s="4">
        <v>642</v>
      </c>
      <c r="F43" s="4">
        <v>632</v>
      </c>
      <c r="G43" s="4">
        <v>0</v>
      </c>
      <c r="H43" s="4">
        <v>0</v>
      </c>
      <c r="I43" s="4">
        <v>203899</v>
      </c>
      <c r="J43" s="4">
        <v>17974</v>
      </c>
      <c r="K43" s="4">
        <v>2636068</v>
      </c>
      <c r="L43" s="5">
        <v>37170</v>
      </c>
      <c r="M43" s="5">
        <v>182689.57162</v>
      </c>
      <c r="N43" s="5">
        <v>14487</v>
      </c>
      <c r="O43" s="5">
        <v>90467.118419999999</v>
      </c>
      <c r="P43" s="5">
        <v>0</v>
      </c>
      <c r="Q43" s="5">
        <v>0</v>
      </c>
      <c r="R43" s="5">
        <v>1604</v>
      </c>
      <c r="S43" s="5">
        <v>6585.3</v>
      </c>
      <c r="T43" s="5">
        <v>238295</v>
      </c>
      <c r="U43" s="5">
        <v>1184188.50556</v>
      </c>
      <c r="V43" s="5">
        <v>24954</v>
      </c>
      <c r="W43" s="5">
        <v>177269.72175999999</v>
      </c>
      <c r="X43" s="5">
        <v>55</v>
      </c>
      <c r="Y43" s="5">
        <v>145.39400000000001</v>
      </c>
      <c r="Z43" s="5">
        <v>3460600</v>
      </c>
      <c r="AA43" s="5">
        <v>19930164.600000001</v>
      </c>
      <c r="AB43" s="5">
        <v>0</v>
      </c>
      <c r="AC43" s="5">
        <v>0</v>
      </c>
    </row>
    <row r="44" spans="2:29" x14ac:dyDescent="0.2">
      <c r="B44" s="22">
        <v>33</v>
      </c>
      <c r="C44" s="3" t="s">
        <v>60</v>
      </c>
      <c r="D44" s="4">
        <v>1251</v>
      </c>
      <c r="E44" s="4">
        <v>115</v>
      </c>
      <c r="F44" s="4">
        <v>121211</v>
      </c>
      <c r="G44" s="4">
        <v>74138</v>
      </c>
      <c r="H44" s="4">
        <v>112596</v>
      </c>
      <c r="I44" s="4">
        <v>597841466</v>
      </c>
      <c r="J44" s="4">
        <v>2945997</v>
      </c>
      <c r="K44" s="4">
        <v>5333819</v>
      </c>
      <c r="L44" s="5">
        <v>15631959</v>
      </c>
      <c r="M44" s="5">
        <v>24779951.838640001</v>
      </c>
      <c r="N44" s="5">
        <v>1767259</v>
      </c>
      <c r="O44" s="5">
        <v>14286192.619140001</v>
      </c>
      <c r="P44" s="5">
        <v>0</v>
      </c>
      <c r="Q44" s="5">
        <v>0</v>
      </c>
      <c r="R44" s="5">
        <v>8841</v>
      </c>
      <c r="S44" s="5">
        <v>48334.2</v>
      </c>
      <c r="T44" s="5">
        <v>381111</v>
      </c>
      <c r="U44" s="5">
        <v>1663735.2051099825</v>
      </c>
      <c r="V44" s="5">
        <v>78303</v>
      </c>
      <c r="W44" s="5">
        <v>830224.03132998536</v>
      </c>
      <c r="X44" s="5">
        <v>9</v>
      </c>
      <c r="Y44" s="5">
        <v>36.417999999999999</v>
      </c>
      <c r="Z44" s="5">
        <v>1535320</v>
      </c>
      <c r="AA44" s="5">
        <v>10281920.74</v>
      </c>
      <c r="AB44" s="5">
        <v>0</v>
      </c>
      <c r="AC44" s="5">
        <v>0</v>
      </c>
    </row>
    <row r="45" spans="2:29" x14ac:dyDescent="0.2">
      <c r="B45" s="8" t="s">
        <v>61</v>
      </c>
      <c r="C45" s="32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 x14ac:dyDescent="0.2">
      <c r="B46" s="22">
        <v>34</v>
      </c>
      <c r="C46" s="3" t="s">
        <v>62</v>
      </c>
      <c r="D46" s="4">
        <v>0</v>
      </c>
      <c r="E46" s="4">
        <v>0</v>
      </c>
      <c r="F46" s="4">
        <v>11272</v>
      </c>
      <c r="G46" s="4">
        <v>0</v>
      </c>
      <c r="H46" s="4">
        <v>0</v>
      </c>
      <c r="I46" s="4">
        <v>0</v>
      </c>
      <c r="J46" s="4">
        <v>1307068</v>
      </c>
      <c r="K46" s="4">
        <v>0</v>
      </c>
      <c r="L46" s="5">
        <v>1674707</v>
      </c>
      <c r="M46" s="5">
        <v>17307962.065000001</v>
      </c>
      <c r="N46" s="5">
        <v>4242480</v>
      </c>
      <c r="O46" s="5">
        <v>44188170.206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">
      <c r="B47" s="22">
        <v>35</v>
      </c>
      <c r="C47" s="3" t="s">
        <v>63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2:29" x14ac:dyDescent="0.2">
      <c r="B48" s="22">
        <v>36</v>
      </c>
      <c r="C48" s="3" t="s">
        <v>64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1338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518</v>
      </c>
      <c r="U48" s="5">
        <v>1576.43948</v>
      </c>
      <c r="V48" s="5">
        <v>493</v>
      </c>
      <c r="W48" s="5">
        <v>1666.9373999999998</v>
      </c>
      <c r="X48" s="5">
        <v>0</v>
      </c>
      <c r="Y48" s="5">
        <v>0</v>
      </c>
      <c r="Z48" s="5">
        <v>1052</v>
      </c>
      <c r="AA48" s="5">
        <v>5451.1</v>
      </c>
      <c r="AB48" s="5">
        <v>0</v>
      </c>
      <c r="AC48" s="5">
        <v>0</v>
      </c>
    </row>
    <row r="49" spans="1:29" x14ac:dyDescent="0.2">
      <c r="B49" s="22">
        <v>37</v>
      </c>
      <c r="C49" s="3" t="s">
        <v>65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527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68</v>
      </c>
      <c r="U49" s="5">
        <v>185.95404000000002</v>
      </c>
      <c r="V49" s="5">
        <v>0</v>
      </c>
      <c r="W49" s="5">
        <v>0</v>
      </c>
      <c r="X49" s="5">
        <v>0</v>
      </c>
      <c r="Y49" s="5">
        <v>0</v>
      </c>
      <c r="Z49" s="5">
        <v>565</v>
      </c>
      <c r="AA49" s="5">
        <v>5272.2</v>
      </c>
      <c r="AB49" s="5">
        <v>0</v>
      </c>
      <c r="AC49" s="5">
        <v>0</v>
      </c>
    </row>
    <row r="50" spans="1:29" x14ac:dyDescent="0.2">
      <c r="B50" s="22">
        <v>38</v>
      </c>
      <c r="C50" s="3" t="s">
        <v>66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274360</v>
      </c>
      <c r="K50" s="4">
        <v>0</v>
      </c>
      <c r="L50" s="5">
        <v>168731</v>
      </c>
      <c r="M50" s="5">
        <v>1128300.0538700211</v>
      </c>
      <c r="N50" s="5">
        <v>352883</v>
      </c>
      <c r="O50" s="5">
        <v>5118611.314080623</v>
      </c>
      <c r="P50" s="5">
        <v>0</v>
      </c>
      <c r="Q50" s="5">
        <v>0</v>
      </c>
      <c r="R50" s="5">
        <v>477</v>
      </c>
      <c r="S50" s="5">
        <v>4062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">
      <c r="B51" s="22">
        <v>39</v>
      </c>
      <c r="C51" s="3" t="s">
        <v>67</v>
      </c>
      <c r="D51" s="4">
        <v>412</v>
      </c>
      <c r="E51" s="4">
        <v>313</v>
      </c>
      <c r="F51" s="4">
        <v>654</v>
      </c>
      <c r="G51" s="4">
        <v>84</v>
      </c>
      <c r="H51" s="4">
        <v>0</v>
      </c>
      <c r="I51" s="4">
        <v>9341</v>
      </c>
      <c r="J51" s="4">
        <v>334593</v>
      </c>
      <c r="K51" s="4">
        <v>1584699</v>
      </c>
      <c r="L51" s="5">
        <v>318238</v>
      </c>
      <c r="M51" s="5">
        <v>1515025.3326099999</v>
      </c>
      <c r="N51" s="5">
        <v>250586</v>
      </c>
      <c r="O51" s="5">
        <v>1962116.0657000002</v>
      </c>
      <c r="P51" s="5">
        <v>0</v>
      </c>
      <c r="Q51" s="5">
        <v>0</v>
      </c>
      <c r="R51" s="5">
        <v>1007</v>
      </c>
      <c r="S51" s="5">
        <v>3207.4</v>
      </c>
      <c r="T51" s="5">
        <v>119848</v>
      </c>
      <c r="U51" s="5">
        <v>455577.61860998592</v>
      </c>
      <c r="V51" s="5">
        <v>65238</v>
      </c>
      <c r="W51" s="5">
        <v>302155.02684999537</v>
      </c>
      <c r="X51" s="5">
        <v>0</v>
      </c>
      <c r="Y51" s="5">
        <v>0</v>
      </c>
      <c r="Z51" s="5">
        <v>547881</v>
      </c>
      <c r="AA51" s="5">
        <v>3566710.4510001889</v>
      </c>
      <c r="AB51" s="5">
        <v>0</v>
      </c>
      <c r="AC51" s="5">
        <v>0</v>
      </c>
    </row>
    <row r="52" spans="1:29" x14ac:dyDescent="0.2">
      <c r="B52" s="22">
        <v>40</v>
      </c>
      <c r="C52" s="3" t="s">
        <v>68</v>
      </c>
      <c r="D52" s="4">
        <v>12</v>
      </c>
      <c r="E52" s="4">
        <v>3</v>
      </c>
      <c r="F52" s="4">
        <v>0</v>
      </c>
      <c r="G52" s="4">
        <v>0</v>
      </c>
      <c r="H52" s="4">
        <v>0</v>
      </c>
      <c r="I52" s="4">
        <v>276</v>
      </c>
      <c r="J52" s="4">
        <v>0</v>
      </c>
      <c r="K52" s="4">
        <v>99929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16845</v>
      </c>
      <c r="U52" s="5">
        <v>76905.962299999956</v>
      </c>
      <c r="V52" s="5">
        <v>16794</v>
      </c>
      <c r="W52" s="5">
        <v>56637.655359999524</v>
      </c>
      <c r="X52" s="5">
        <v>0</v>
      </c>
      <c r="Y52" s="5">
        <v>0</v>
      </c>
      <c r="Z52" s="5">
        <v>21308</v>
      </c>
      <c r="AA52" s="5">
        <v>143218.003</v>
      </c>
      <c r="AB52" s="5">
        <v>0</v>
      </c>
      <c r="AC52" s="5">
        <v>0</v>
      </c>
    </row>
    <row r="53" spans="1:29" x14ac:dyDescent="0.2">
      <c r="B53" s="22">
        <v>41</v>
      </c>
      <c r="C53" s="3" t="s">
        <v>69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23603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501</v>
      </c>
      <c r="U53" s="5">
        <v>1921.9028700000001</v>
      </c>
      <c r="V53" s="5">
        <v>103</v>
      </c>
      <c r="W53" s="5">
        <v>133.4931</v>
      </c>
      <c r="X53" s="5">
        <v>0</v>
      </c>
      <c r="Y53" s="5">
        <v>0</v>
      </c>
      <c r="Z53" s="5">
        <v>1240</v>
      </c>
      <c r="AA53" s="5">
        <v>7942.1</v>
      </c>
      <c r="AB53" s="5">
        <v>0</v>
      </c>
      <c r="AC53" s="5">
        <v>0</v>
      </c>
    </row>
    <row r="54" spans="1:29" x14ac:dyDescent="0.2">
      <c r="B54" s="22">
        <v>42</v>
      </c>
      <c r="C54" s="3" t="s">
        <v>70</v>
      </c>
      <c r="D54" s="7">
        <v>51</v>
      </c>
      <c r="E54" s="4">
        <v>25</v>
      </c>
      <c r="F54" s="4">
        <v>0</v>
      </c>
      <c r="G54" s="4">
        <v>0</v>
      </c>
      <c r="H54" s="4">
        <v>0</v>
      </c>
      <c r="I54" s="4">
        <v>6219</v>
      </c>
      <c r="J54" s="4">
        <v>963882</v>
      </c>
      <c r="K54" s="4">
        <v>949544</v>
      </c>
      <c r="L54" s="5">
        <v>1132444</v>
      </c>
      <c r="M54" s="5">
        <v>5214359.3319899188</v>
      </c>
      <c r="N54" s="5">
        <v>3348976</v>
      </c>
      <c r="O54" s="5">
        <v>11591748.132028902</v>
      </c>
      <c r="P54" s="5">
        <v>0</v>
      </c>
      <c r="Q54" s="5">
        <v>0</v>
      </c>
      <c r="R54" s="5">
        <v>2300</v>
      </c>
      <c r="S54" s="5">
        <v>17059.513269999999</v>
      </c>
      <c r="T54" s="5">
        <v>275728</v>
      </c>
      <c r="U54" s="5">
        <v>1738463.2319100001</v>
      </c>
      <c r="V54" s="5">
        <v>0</v>
      </c>
      <c r="W54" s="5">
        <v>0</v>
      </c>
      <c r="X54" s="5">
        <v>0</v>
      </c>
      <c r="Y54" s="5">
        <v>0</v>
      </c>
      <c r="Z54" s="5">
        <v>226766</v>
      </c>
      <c r="AA54" s="5">
        <v>1496517.86821</v>
      </c>
      <c r="AB54" s="5">
        <v>0</v>
      </c>
      <c r="AC54" s="5">
        <v>0</v>
      </c>
    </row>
    <row r="55" spans="1:29" x14ac:dyDescent="0.2">
      <c r="B55" s="22">
        <v>43</v>
      </c>
      <c r="C55" s="3" t="s">
        <v>71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1994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1029</v>
      </c>
      <c r="U55" s="5">
        <v>3525.2469999999998</v>
      </c>
      <c r="V55" s="5">
        <v>141</v>
      </c>
      <c r="W55" s="5">
        <v>583.03300000000002</v>
      </c>
      <c r="X55" s="5">
        <v>0</v>
      </c>
      <c r="Y55" s="5">
        <v>0</v>
      </c>
      <c r="Z55" s="5">
        <v>276</v>
      </c>
      <c r="AA55" s="5">
        <v>1589.3</v>
      </c>
      <c r="AB55" s="5">
        <v>0</v>
      </c>
      <c r="AC55" s="5">
        <v>0</v>
      </c>
    </row>
    <row r="56" spans="1:29" x14ac:dyDescent="0.2">
      <c r="B56" s="22">
        <v>44</v>
      </c>
      <c r="C56" s="3" t="s">
        <v>72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410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273</v>
      </c>
      <c r="U56" s="5">
        <v>661.99631999999997</v>
      </c>
      <c r="V56" s="5">
        <v>138</v>
      </c>
      <c r="W56" s="5">
        <v>553.22913000000005</v>
      </c>
      <c r="X56" s="5">
        <v>0</v>
      </c>
      <c r="Y56" s="5">
        <v>0</v>
      </c>
      <c r="Z56" s="5">
        <v>127</v>
      </c>
      <c r="AA56" s="5">
        <v>761.5</v>
      </c>
      <c r="AB56" s="5">
        <v>0</v>
      </c>
      <c r="AC56" s="5">
        <v>0</v>
      </c>
    </row>
    <row r="57" spans="1:29" x14ac:dyDescent="0.2">
      <c r="A57" s="20" t="s">
        <v>73</v>
      </c>
      <c r="B57" s="22">
        <v>45</v>
      </c>
      <c r="C57" s="3" t="s">
        <v>74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93</v>
      </c>
      <c r="J57" s="4">
        <v>835117</v>
      </c>
      <c r="K57" s="4">
        <v>865139</v>
      </c>
      <c r="L57" s="5">
        <v>108312</v>
      </c>
      <c r="M57" s="5">
        <v>165758.99145999999</v>
      </c>
      <c r="N57" s="5">
        <v>324686</v>
      </c>
      <c r="O57" s="5">
        <v>381169.74618999998</v>
      </c>
      <c r="P57" s="5">
        <v>0</v>
      </c>
      <c r="Q57" s="5">
        <v>0</v>
      </c>
      <c r="R57" s="5">
        <v>1563</v>
      </c>
      <c r="S57" s="5">
        <v>5437.3844000000008</v>
      </c>
      <c r="T57" s="5">
        <v>7446</v>
      </c>
      <c r="U57" s="5">
        <v>27973.341</v>
      </c>
      <c r="V57" s="5">
        <v>9132</v>
      </c>
      <c r="W57" s="5">
        <v>41527.482000000004</v>
      </c>
      <c r="X57" s="5">
        <v>0</v>
      </c>
      <c r="Y57" s="5">
        <v>0</v>
      </c>
      <c r="Z57" s="5">
        <v>25145</v>
      </c>
      <c r="AA57" s="5">
        <v>124333.43190000001</v>
      </c>
      <c r="AB57" s="5">
        <v>0</v>
      </c>
      <c r="AC57" s="5">
        <v>0</v>
      </c>
    </row>
    <row r="58" spans="1:29" x14ac:dyDescent="0.2">
      <c r="B58" s="22">
        <v>46</v>
      </c>
      <c r="C58" s="32" t="s">
        <v>75</v>
      </c>
      <c r="D58" s="4">
        <v>89</v>
      </c>
      <c r="E58" s="4">
        <v>34</v>
      </c>
      <c r="F58" s="4">
        <v>0</v>
      </c>
      <c r="G58" s="4">
        <v>0</v>
      </c>
      <c r="H58" s="4">
        <v>0</v>
      </c>
      <c r="I58" s="4">
        <v>0</v>
      </c>
      <c r="J58" s="4">
        <v>609415</v>
      </c>
      <c r="K58" s="4">
        <v>840634</v>
      </c>
      <c r="L58" s="5">
        <v>664440</v>
      </c>
      <c r="M58" s="5">
        <v>2801303.1218301426</v>
      </c>
      <c r="N58" s="5">
        <v>862707</v>
      </c>
      <c r="O58" s="5">
        <v>4468669.4558698628</v>
      </c>
      <c r="P58" s="5">
        <v>0</v>
      </c>
      <c r="Q58" s="5">
        <v>0</v>
      </c>
      <c r="R58" s="5">
        <v>1109</v>
      </c>
      <c r="S58" s="5">
        <v>8338.4624999999996</v>
      </c>
      <c r="T58" s="5">
        <v>166667</v>
      </c>
      <c r="U58" s="5">
        <v>867272.52360999433</v>
      </c>
      <c r="V58" s="5">
        <v>112486</v>
      </c>
      <c r="W58" s="5">
        <v>466598.31518997223</v>
      </c>
      <c r="X58" s="5">
        <v>24</v>
      </c>
      <c r="Y58" s="5">
        <v>382.93973999999997</v>
      </c>
      <c r="Z58" s="5">
        <v>343614</v>
      </c>
      <c r="AA58" s="5">
        <v>2107351.6156900008</v>
      </c>
      <c r="AB58" s="5">
        <v>0</v>
      </c>
      <c r="AC58" s="5">
        <v>0</v>
      </c>
    </row>
    <row r="59" spans="1:29" x14ac:dyDescent="0.2">
      <c r="B59" s="22">
        <v>47</v>
      </c>
      <c r="C59" s="32" t="s">
        <v>76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1088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1416</v>
      </c>
      <c r="U59" s="5">
        <v>5412.4365799999996</v>
      </c>
      <c r="V59" s="5">
        <v>604</v>
      </c>
      <c r="W59" s="5">
        <v>2188.3071600000003</v>
      </c>
      <c r="X59" s="5">
        <v>0</v>
      </c>
      <c r="Y59" s="5">
        <v>0</v>
      </c>
      <c r="Z59" s="5">
        <v>236</v>
      </c>
      <c r="AA59" s="5">
        <v>1768.6</v>
      </c>
      <c r="AB59" s="5">
        <v>0</v>
      </c>
      <c r="AC59" s="5">
        <v>0</v>
      </c>
    </row>
    <row r="60" spans="1:29" x14ac:dyDescent="0.2">
      <c r="B60" s="8" t="s">
        <v>77</v>
      </c>
      <c r="C60" s="32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34" customFormat="1" x14ac:dyDescent="0.25">
      <c r="A61" s="33"/>
      <c r="B61" s="23">
        <v>48</v>
      </c>
      <c r="C61" s="9" t="s">
        <v>78</v>
      </c>
      <c r="D61" s="10">
        <v>0</v>
      </c>
      <c r="E61" s="10">
        <v>0</v>
      </c>
      <c r="F61" s="10">
        <v>0</v>
      </c>
      <c r="G61" s="10">
        <v>163522</v>
      </c>
      <c r="H61" s="10">
        <v>0</v>
      </c>
      <c r="I61" s="10">
        <v>920777</v>
      </c>
      <c r="J61" s="10">
        <v>0</v>
      </c>
      <c r="K61" s="10">
        <v>11199215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2445754</v>
      </c>
      <c r="U61" s="11">
        <v>113292.93048</v>
      </c>
      <c r="V61" s="11">
        <v>27461</v>
      </c>
      <c r="W61" s="11">
        <v>32319.869650000001</v>
      </c>
      <c r="X61" s="11">
        <v>0</v>
      </c>
      <c r="Y61" s="11">
        <v>0</v>
      </c>
      <c r="Z61" s="11">
        <v>557098</v>
      </c>
      <c r="AA61" s="11">
        <v>2048130.372</v>
      </c>
      <c r="AB61" s="11">
        <v>0</v>
      </c>
      <c r="AC61" s="11">
        <v>0</v>
      </c>
    </row>
    <row r="62" spans="1:29" s="34" customFormat="1" x14ac:dyDescent="0.25">
      <c r="A62" s="33"/>
      <c r="B62" s="23">
        <v>49</v>
      </c>
      <c r="C62" s="9" t="s">
        <v>79</v>
      </c>
      <c r="D62" s="10">
        <v>0</v>
      </c>
      <c r="E62" s="10">
        <v>0</v>
      </c>
      <c r="F62" s="10">
        <v>0</v>
      </c>
      <c r="G62" s="10">
        <v>473861</v>
      </c>
      <c r="H62" s="10">
        <v>0</v>
      </c>
      <c r="I62" s="10">
        <v>11938</v>
      </c>
      <c r="J62" s="10">
        <v>0</v>
      </c>
      <c r="K62" s="10">
        <v>11200503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79930</v>
      </c>
      <c r="U62" s="11">
        <v>175430.76792999997</v>
      </c>
      <c r="V62" s="11">
        <v>951</v>
      </c>
      <c r="W62" s="11">
        <v>1865.5423500000004</v>
      </c>
      <c r="X62" s="11">
        <v>0</v>
      </c>
      <c r="Y62" s="11">
        <v>0</v>
      </c>
      <c r="Z62" s="11">
        <v>1659029</v>
      </c>
      <c r="AA62" s="11">
        <v>6092172.4570000004</v>
      </c>
      <c r="AB62" s="11">
        <v>0</v>
      </c>
      <c r="AC62" s="11">
        <v>0</v>
      </c>
    </row>
    <row r="63" spans="1:29" s="34" customFormat="1" x14ac:dyDescent="0.25">
      <c r="A63" s="33"/>
      <c r="B63" s="23">
        <v>50</v>
      </c>
      <c r="C63" s="9" t="s">
        <v>80</v>
      </c>
      <c r="D63" s="10">
        <v>0</v>
      </c>
      <c r="E63" s="10">
        <v>0</v>
      </c>
      <c r="F63" s="10">
        <v>0</v>
      </c>
      <c r="G63" s="10">
        <v>176198</v>
      </c>
      <c r="H63" s="10">
        <v>0</v>
      </c>
      <c r="I63" s="10">
        <v>0</v>
      </c>
      <c r="J63" s="10">
        <v>0</v>
      </c>
      <c r="K63" s="10">
        <v>33737909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85612</v>
      </c>
      <c r="W63" s="11">
        <v>80659.082580000002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</row>
    <row r="64" spans="1:29" s="34" customFormat="1" x14ac:dyDescent="0.25">
      <c r="A64" s="33"/>
      <c r="B64" s="23">
        <v>51</v>
      </c>
      <c r="C64" s="9" t="s">
        <v>81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98748</v>
      </c>
      <c r="J64" s="10">
        <v>0</v>
      </c>
      <c r="K64" s="10">
        <v>1618688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12970</v>
      </c>
      <c r="U64" s="11">
        <v>23997.112820000002</v>
      </c>
      <c r="V64" s="11">
        <v>18113</v>
      </c>
      <c r="W64" s="11">
        <v>28429.715940000002</v>
      </c>
      <c r="X64" s="11">
        <v>2198</v>
      </c>
      <c r="Y64" s="11">
        <v>1467.2974099999999</v>
      </c>
      <c r="Z64" s="11">
        <v>146112</v>
      </c>
      <c r="AA64" s="11">
        <v>758723.4</v>
      </c>
      <c r="AB64" s="11">
        <v>0</v>
      </c>
      <c r="AC64" s="11">
        <v>0</v>
      </c>
    </row>
    <row r="65" spans="1:29" s="34" customFormat="1" x14ac:dyDescent="0.25">
      <c r="A65" s="33"/>
      <c r="B65" s="23">
        <v>52</v>
      </c>
      <c r="C65" s="9" t="s">
        <v>82</v>
      </c>
      <c r="D65" s="10">
        <v>0</v>
      </c>
      <c r="E65" s="10">
        <v>0</v>
      </c>
      <c r="F65" s="10">
        <v>0</v>
      </c>
      <c r="G65" s="10">
        <v>235167</v>
      </c>
      <c r="H65" s="10">
        <v>0</v>
      </c>
      <c r="I65" s="10">
        <v>0</v>
      </c>
      <c r="J65" s="10">
        <v>0</v>
      </c>
      <c r="K65" s="10">
        <v>3466440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18511</v>
      </c>
      <c r="U65" s="11">
        <v>37160.672880000006</v>
      </c>
      <c r="V65" s="11">
        <v>19526</v>
      </c>
      <c r="W65" s="11">
        <v>48365.569229999994</v>
      </c>
      <c r="X65" s="11">
        <v>0</v>
      </c>
      <c r="Y65" s="11">
        <v>0</v>
      </c>
      <c r="Z65" s="11">
        <v>462525</v>
      </c>
      <c r="AA65" s="11">
        <v>1329586.3</v>
      </c>
      <c r="AB65" s="11">
        <v>0</v>
      </c>
      <c r="AC65" s="11">
        <v>0</v>
      </c>
    </row>
    <row r="66" spans="1:29" x14ac:dyDescent="0.2">
      <c r="B66" s="8" t="s">
        <v>83</v>
      </c>
      <c r="C66" s="32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2">
      <c r="B67" s="22">
        <v>53</v>
      </c>
      <c r="C67" s="3" t="s">
        <v>84</v>
      </c>
      <c r="D67" s="4">
        <v>758</v>
      </c>
      <c r="E67" s="4">
        <v>6</v>
      </c>
      <c r="F67" s="4">
        <v>0</v>
      </c>
      <c r="G67" s="4">
        <v>900</v>
      </c>
      <c r="H67" s="4">
        <v>0</v>
      </c>
      <c r="I67" s="4">
        <v>396259</v>
      </c>
      <c r="J67" s="4">
        <v>1017304</v>
      </c>
      <c r="K67" s="4">
        <v>11200252</v>
      </c>
      <c r="L67" s="5">
        <v>740117</v>
      </c>
      <c r="M67" s="5">
        <v>4604715.4787299959</v>
      </c>
      <c r="N67" s="5">
        <v>3348800</v>
      </c>
      <c r="O67" s="5">
        <v>8930635.1741499733</v>
      </c>
      <c r="P67" s="5">
        <v>432</v>
      </c>
      <c r="Q67" s="5">
        <v>226.46799999999999</v>
      </c>
      <c r="R67" s="5">
        <v>3364</v>
      </c>
      <c r="S67" s="5">
        <v>21489.7</v>
      </c>
      <c r="T67" s="5">
        <v>182983</v>
      </c>
      <c r="U67" s="5">
        <v>564881.72060999996</v>
      </c>
      <c r="V67" s="5">
        <v>156002</v>
      </c>
      <c r="W67" s="5">
        <v>792708.35721000005</v>
      </c>
      <c r="X67" s="5">
        <v>145</v>
      </c>
      <c r="Y67" s="5">
        <v>2186.415</v>
      </c>
      <c r="Z67" s="5">
        <v>819634</v>
      </c>
      <c r="AA67" s="5">
        <v>5417463.5999999996</v>
      </c>
      <c r="AB67" s="5">
        <v>0</v>
      </c>
      <c r="AC67" s="5">
        <v>0</v>
      </c>
    </row>
    <row r="68" spans="1:29" x14ac:dyDescent="0.2">
      <c r="B68" s="22">
        <v>54</v>
      </c>
      <c r="C68" s="3" t="s">
        <v>85</v>
      </c>
      <c r="D68" s="4">
        <v>213</v>
      </c>
      <c r="E68" s="4">
        <v>2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225643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16918</v>
      </c>
      <c r="U68" s="5">
        <v>63540.28067</v>
      </c>
      <c r="V68" s="5">
        <v>1808</v>
      </c>
      <c r="W68" s="5">
        <v>10272.291869999999</v>
      </c>
      <c r="X68" s="5">
        <v>0</v>
      </c>
      <c r="Y68" s="5">
        <v>0</v>
      </c>
      <c r="Z68" s="5">
        <v>96999</v>
      </c>
      <c r="AA68" s="5">
        <v>631825.86</v>
      </c>
      <c r="AB68" s="5">
        <v>0</v>
      </c>
      <c r="AC68" s="5">
        <v>0</v>
      </c>
    </row>
    <row r="69" spans="1:29" x14ac:dyDescent="0.2">
      <c r="B69" s="22">
        <v>55</v>
      </c>
      <c r="C69" s="3" t="s">
        <v>86</v>
      </c>
      <c r="D69" s="4">
        <v>394</v>
      </c>
      <c r="E69" s="4">
        <v>4</v>
      </c>
      <c r="F69" s="4">
        <v>2678</v>
      </c>
      <c r="G69" s="4">
        <v>363</v>
      </c>
      <c r="H69" s="4">
        <v>0</v>
      </c>
      <c r="I69" s="4">
        <v>58593</v>
      </c>
      <c r="J69" s="4">
        <v>17030</v>
      </c>
      <c r="K69" s="4">
        <v>1110149</v>
      </c>
      <c r="L69" s="5">
        <v>116735</v>
      </c>
      <c r="M69" s="5">
        <v>219051.96127</v>
      </c>
      <c r="N69" s="5">
        <v>11331</v>
      </c>
      <c r="O69" s="5">
        <v>159812.96338</v>
      </c>
      <c r="P69" s="5">
        <v>0</v>
      </c>
      <c r="Q69" s="5">
        <v>0</v>
      </c>
      <c r="R69" s="5">
        <v>325</v>
      </c>
      <c r="S69" s="5">
        <v>1990.7</v>
      </c>
      <c r="T69" s="5">
        <v>63825</v>
      </c>
      <c r="U69" s="5">
        <v>209871.15534</v>
      </c>
      <c r="V69" s="5">
        <v>18621</v>
      </c>
      <c r="W69" s="5">
        <v>120665.63028999999</v>
      </c>
      <c r="X69" s="5">
        <v>0</v>
      </c>
      <c r="Y69" s="5">
        <v>0</v>
      </c>
      <c r="Z69" s="5">
        <v>1495762</v>
      </c>
      <c r="AA69" s="5">
        <v>4814224.8849999998</v>
      </c>
      <c r="AB69" s="5">
        <v>0</v>
      </c>
      <c r="AC69" s="5">
        <v>0</v>
      </c>
    </row>
    <row r="70" spans="1:29" x14ac:dyDescent="0.2">
      <c r="B70" s="22">
        <v>56</v>
      </c>
      <c r="C70" s="3" t="s">
        <v>87</v>
      </c>
      <c r="D70" s="4">
        <v>719</v>
      </c>
      <c r="E70" s="4">
        <v>3</v>
      </c>
      <c r="F70" s="4">
        <v>0</v>
      </c>
      <c r="G70" s="4">
        <v>3012</v>
      </c>
      <c r="H70" s="4">
        <v>0</v>
      </c>
      <c r="I70" s="4">
        <v>2693</v>
      </c>
      <c r="J70" s="4">
        <v>7975</v>
      </c>
      <c r="K70" s="4">
        <v>5275570</v>
      </c>
      <c r="L70" s="5">
        <v>6666</v>
      </c>
      <c r="M70" s="5">
        <v>18238.509610000005</v>
      </c>
      <c r="N70" s="5">
        <v>61683</v>
      </c>
      <c r="O70" s="5">
        <v>53023.18449</v>
      </c>
      <c r="P70" s="5">
        <v>0</v>
      </c>
      <c r="Q70" s="5">
        <v>0</v>
      </c>
      <c r="R70" s="5">
        <v>28</v>
      </c>
      <c r="S70" s="5">
        <v>70.748000000000005</v>
      </c>
      <c r="T70" s="5">
        <v>106369</v>
      </c>
      <c r="U70" s="5">
        <v>254075.82551999995</v>
      </c>
      <c r="V70" s="5">
        <v>8383</v>
      </c>
      <c r="W70" s="5">
        <v>32884.309780000003</v>
      </c>
      <c r="X70" s="5">
        <v>0</v>
      </c>
      <c r="Y70" s="5">
        <v>0</v>
      </c>
      <c r="Z70" s="5">
        <v>624902</v>
      </c>
      <c r="AA70" s="5">
        <v>3316507.6120000002</v>
      </c>
      <c r="AB70" s="5">
        <v>0</v>
      </c>
      <c r="AC70" s="5">
        <v>0</v>
      </c>
    </row>
    <row r="71" spans="1:29" x14ac:dyDescent="0.2">
      <c r="B71" s="22">
        <v>57</v>
      </c>
      <c r="C71" s="3" t="s">
        <v>88</v>
      </c>
      <c r="D71" s="4">
        <v>57</v>
      </c>
      <c r="E71" s="4">
        <v>5</v>
      </c>
      <c r="F71" s="4">
        <v>0</v>
      </c>
      <c r="G71" s="4">
        <v>173</v>
      </c>
      <c r="H71" s="4">
        <v>0</v>
      </c>
      <c r="I71" s="4">
        <v>844303</v>
      </c>
      <c r="J71" s="4">
        <v>0</v>
      </c>
      <c r="K71" s="4">
        <v>4557392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36732</v>
      </c>
      <c r="U71" s="5">
        <v>106278.74644</v>
      </c>
      <c r="V71" s="5">
        <v>7023</v>
      </c>
      <c r="W71" s="5">
        <v>24033.385690000003</v>
      </c>
      <c r="X71" s="5">
        <v>0</v>
      </c>
      <c r="Y71" s="5">
        <v>0</v>
      </c>
      <c r="Z71" s="5">
        <v>636243</v>
      </c>
      <c r="AA71" s="5">
        <v>2101453.02085</v>
      </c>
      <c r="AB71" s="5">
        <v>0</v>
      </c>
      <c r="AC71" s="5">
        <v>0</v>
      </c>
    </row>
    <row r="72" spans="1:29" x14ac:dyDescent="0.2">
      <c r="B72" s="22">
        <v>58</v>
      </c>
      <c r="C72" s="3" t="s">
        <v>89</v>
      </c>
      <c r="D72" s="4">
        <v>5</v>
      </c>
      <c r="E72" s="4">
        <v>0</v>
      </c>
      <c r="F72" s="4">
        <v>0</v>
      </c>
      <c r="G72" s="4">
        <v>0</v>
      </c>
      <c r="H72" s="4">
        <v>0</v>
      </c>
      <c r="I72" s="4">
        <v>19914</v>
      </c>
      <c r="J72" s="4">
        <v>231482</v>
      </c>
      <c r="K72" s="4">
        <v>5182377</v>
      </c>
      <c r="L72" s="5">
        <v>3251668</v>
      </c>
      <c r="M72" s="5">
        <v>1508603.8519099997</v>
      </c>
      <c r="N72" s="5">
        <v>679828</v>
      </c>
      <c r="O72" s="5">
        <v>676826.5462000001</v>
      </c>
      <c r="P72" s="5">
        <v>0</v>
      </c>
      <c r="Q72" s="5">
        <v>0</v>
      </c>
      <c r="R72" s="5">
        <v>0</v>
      </c>
      <c r="S72" s="5">
        <v>0</v>
      </c>
      <c r="T72" s="5">
        <v>9028</v>
      </c>
      <c r="U72" s="5">
        <v>20966.233479999999</v>
      </c>
      <c r="V72" s="5">
        <v>44128</v>
      </c>
      <c r="W72" s="5">
        <v>124354.08979</v>
      </c>
      <c r="X72" s="5">
        <v>0</v>
      </c>
      <c r="Y72" s="5">
        <v>0</v>
      </c>
      <c r="Z72" s="5">
        <v>61388</v>
      </c>
      <c r="AA72" s="5">
        <v>325559</v>
      </c>
      <c r="AB72" s="5">
        <v>2433</v>
      </c>
      <c r="AC72" s="5">
        <v>10522.575000000001</v>
      </c>
    </row>
    <row r="73" spans="1:29" x14ac:dyDescent="0.2">
      <c r="B73" s="22">
        <v>59</v>
      </c>
      <c r="C73" s="3" t="s">
        <v>90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35815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1356</v>
      </c>
      <c r="U73" s="5">
        <v>3637.59494</v>
      </c>
      <c r="V73" s="5">
        <v>431</v>
      </c>
      <c r="W73" s="5">
        <v>3028.2073700000001</v>
      </c>
      <c r="X73" s="5">
        <v>0</v>
      </c>
      <c r="Y73" s="5">
        <v>0</v>
      </c>
      <c r="Z73" s="5">
        <v>11942</v>
      </c>
      <c r="AA73" s="5">
        <v>64400.13</v>
      </c>
      <c r="AB73" s="5">
        <v>0</v>
      </c>
      <c r="AC73" s="5">
        <v>0</v>
      </c>
    </row>
    <row r="74" spans="1:29" x14ac:dyDescent="0.2">
      <c r="B74" s="22">
        <v>60</v>
      </c>
      <c r="C74" s="3" t="s">
        <v>91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43480</v>
      </c>
      <c r="K74" s="4">
        <v>1024034</v>
      </c>
      <c r="L74" s="5">
        <v>5710</v>
      </c>
      <c r="M74" s="5">
        <v>20563.117429999998</v>
      </c>
      <c r="N74" s="5">
        <v>17804</v>
      </c>
      <c r="O74" s="5">
        <v>42511.859170000003</v>
      </c>
      <c r="P74" s="5">
        <v>0</v>
      </c>
      <c r="Q74" s="5">
        <v>0</v>
      </c>
      <c r="R74" s="5">
        <v>0</v>
      </c>
      <c r="S74" s="5">
        <v>0</v>
      </c>
      <c r="T74" s="5">
        <v>4827</v>
      </c>
      <c r="U74" s="5">
        <v>10853.322</v>
      </c>
      <c r="V74" s="5">
        <v>833</v>
      </c>
      <c r="W74" s="5">
        <v>3141.8449999999998</v>
      </c>
      <c r="X74" s="5">
        <v>0</v>
      </c>
      <c r="Y74" s="5">
        <v>0</v>
      </c>
      <c r="Z74" s="5">
        <v>47515</v>
      </c>
      <c r="AA74" s="5">
        <v>209460.23</v>
      </c>
      <c r="AB74" s="5">
        <v>0</v>
      </c>
      <c r="AC74" s="5">
        <v>0</v>
      </c>
    </row>
    <row r="75" spans="1:29" x14ac:dyDescent="0.2">
      <c r="B75" s="22">
        <v>61</v>
      </c>
      <c r="C75" s="3" t="s">
        <v>92</v>
      </c>
      <c r="D75" s="4">
        <v>608</v>
      </c>
      <c r="E75" s="4">
        <v>4</v>
      </c>
      <c r="F75" s="4">
        <v>0</v>
      </c>
      <c r="G75" s="4">
        <v>0</v>
      </c>
      <c r="H75" s="4">
        <v>0</v>
      </c>
      <c r="I75" s="4">
        <v>548601</v>
      </c>
      <c r="J75" s="4">
        <v>0</v>
      </c>
      <c r="K75" s="4">
        <v>6604250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113420</v>
      </c>
      <c r="U75" s="5">
        <v>308650.28613000002</v>
      </c>
      <c r="V75" s="5">
        <v>20230</v>
      </c>
      <c r="W75" s="5">
        <v>113891.98209999999</v>
      </c>
      <c r="X75" s="5">
        <v>0</v>
      </c>
      <c r="Y75" s="5">
        <v>0</v>
      </c>
      <c r="Z75" s="5">
        <v>2554569</v>
      </c>
      <c r="AA75" s="5">
        <v>12727385.297</v>
      </c>
      <c r="AB75" s="5">
        <v>0</v>
      </c>
      <c r="AC75" s="5">
        <v>0</v>
      </c>
    </row>
    <row r="76" spans="1:29" x14ac:dyDescent="0.2">
      <c r="B76" s="22">
        <v>62</v>
      </c>
      <c r="C76" s="3" t="s">
        <v>93</v>
      </c>
      <c r="D76" s="4">
        <v>189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245544</v>
      </c>
      <c r="K76" s="4">
        <v>119325</v>
      </c>
      <c r="L76" s="5">
        <v>38542</v>
      </c>
      <c r="M76" s="5">
        <v>134640.42290000001</v>
      </c>
      <c r="N76" s="5">
        <v>105835</v>
      </c>
      <c r="O76" s="5">
        <v>397253.16279999999</v>
      </c>
      <c r="P76" s="5">
        <v>0</v>
      </c>
      <c r="Q76" s="5">
        <v>0</v>
      </c>
      <c r="R76" s="5">
        <v>1068</v>
      </c>
      <c r="S76" s="5">
        <v>4635.7520400000003</v>
      </c>
      <c r="T76" s="5">
        <v>7848</v>
      </c>
      <c r="U76" s="5">
        <v>19641.253290000001</v>
      </c>
      <c r="V76" s="5">
        <v>1353</v>
      </c>
      <c r="W76" s="5">
        <v>5956.2710299999999</v>
      </c>
      <c r="X76" s="5">
        <v>0</v>
      </c>
      <c r="Y76" s="5">
        <v>0</v>
      </c>
      <c r="Z76" s="5">
        <v>35545</v>
      </c>
      <c r="AA76" s="5">
        <v>184395.5</v>
      </c>
      <c r="AB76" s="5">
        <v>0</v>
      </c>
      <c r="AC76" s="5">
        <v>0</v>
      </c>
    </row>
    <row r="77" spans="1:29" x14ac:dyDescent="0.2">
      <c r="B77" s="22">
        <v>63</v>
      </c>
      <c r="C77" s="3" t="s">
        <v>94</v>
      </c>
      <c r="D77" s="4">
        <v>365</v>
      </c>
      <c r="E77" s="4">
        <v>8</v>
      </c>
      <c r="F77" s="4">
        <v>0</v>
      </c>
      <c r="G77" s="4">
        <v>789</v>
      </c>
      <c r="H77" s="4">
        <v>0</v>
      </c>
      <c r="I77" s="4">
        <v>42441</v>
      </c>
      <c r="J77" s="4">
        <v>312452</v>
      </c>
      <c r="K77" s="4">
        <v>1326388</v>
      </c>
      <c r="L77" s="5">
        <v>19630</v>
      </c>
      <c r="M77" s="5">
        <v>35844.485269999997</v>
      </c>
      <c r="N77" s="5">
        <v>90954</v>
      </c>
      <c r="O77" s="5">
        <v>99886.818250000011</v>
      </c>
      <c r="P77" s="5">
        <v>3395040</v>
      </c>
      <c r="Q77" s="5">
        <v>908534.88401000004</v>
      </c>
      <c r="R77" s="5">
        <v>622</v>
      </c>
      <c r="S77" s="5">
        <v>1016.1</v>
      </c>
      <c r="T77" s="5">
        <v>16536</v>
      </c>
      <c r="U77" s="5">
        <v>65419.655450000035</v>
      </c>
      <c r="V77" s="5">
        <v>5331</v>
      </c>
      <c r="W77" s="5">
        <v>25163.943630000002</v>
      </c>
      <c r="X77" s="5">
        <v>1</v>
      </c>
      <c r="Y77" s="5">
        <v>12.7</v>
      </c>
      <c r="Z77" s="5">
        <v>158318</v>
      </c>
      <c r="AA77" s="5">
        <v>1147828.723</v>
      </c>
      <c r="AB77" s="5">
        <v>0</v>
      </c>
      <c r="AC77" s="5">
        <v>0</v>
      </c>
    </row>
    <row r="78" spans="1:29" s="37" customFormat="1" x14ac:dyDescent="0.2">
      <c r="A78" s="35"/>
      <c r="B78" s="26" t="s">
        <v>95</v>
      </c>
      <c r="C78" s="36"/>
      <c r="D78" s="27">
        <f t="shared" ref="D78:AC78" si="0">SUM(D11:D77)</f>
        <v>136126</v>
      </c>
      <c r="E78" s="27">
        <f t="shared" si="0"/>
        <v>73857</v>
      </c>
      <c r="F78" s="27">
        <f t="shared" si="0"/>
        <v>11447440</v>
      </c>
      <c r="G78" s="27">
        <f t="shared" si="0"/>
        <v>1367989</v>
      </c>
      <c r="H78" s="27">
        <f t="shared" si="0"/>
        <v>5617011</v>
      </c>
      <c r="I78" s="27">
        <f t="shared" si="0"/>
        <v>770829198</v>
      </c>
      <c r="J78" s="27">
        <f t="shared" si="0"/>
        <v>119459156</v>
      </c>
      <c r="K78" s="27">
        <f t="shared" si="0"/>
        <v>1023670375</v>
      </c>
      <c r="L78" s="27">
        <f t="shared" si="0"/>
        <v>275556024</v>
      </c>
      <c r="M78" s="27">
        <f t="shared" si="0"/>
        <v>738346872.11074018</v>
      </c>
      <c r="N78" s="27">
        <f t="shared" si="0"/>
        <v>280555128</v>
      </c>
      <c r="O78" s="27">
        <f t="shared" si="0"/>
        <v>1233461031.8482189</v>
      </c>
      <c r="P78" s="27">
        <f t="shared" si="0"/>
        <v>3416277</v>
      </c>
      <c r="Q78" s="27">
        <f t="shared" si="0"/>
        <v>929726.63792000001</v>
      </c>
      <c r="R78" s="27">
        <f t="shared" si="0"/>
        <v>640468</v>
      </c>
      <c r="S78" s="27">
        <f t="shared" si="0"/>
        <v>3651054.3719200008</v>
      </c>
      <c r="T78" s="27">
        <f t="shared" si="0"/>
        <v>71805490</v>
      </c>
      <c r="U78" s="27">
        <f t="shared" si="0"/>
        <v>242694251.03492013</v>
      </c>
      <c r="V78" s="27">
        <f t="shared" si="0"/>
        <v>25634769</v>
      </c>
      <c r="W78" s="27">
        <f t="shared" si="0"/>
        <v>124650873.16642982</v>
      </c>
      <c r="X78" s="27">
        <f t="shared" si="0"/>
        <v>74041</v>
      </c>
      <c r="Y78" s="27">
        <f t="shared" si="0"/>
        <v>1682311.01254</v>
      </c>
      <c r="Z78" s="27">
        <f t="shared" si="0"/>
        <v>410322715</v>
      </c>
      <c r="AA78" s="27">
        <f t="shared" si="0"/>
        <v>2298494676.1051707</v>
      </c>
      <c r="AB78" s="27">
        <f t="shared" si="0"/>
        <v>8093.85</v>
      </c>
      <c r="AC78" s="27">
        <f t="shared" si="0"/>
        <v>15112.485339999999</v>
      </c>
    </row>
    <row r="79" spans="1:29" s="37" customFormat="1" x14ac:dyDescent="0.2">
      <c r="A79" s="35"/>
      <c r="B79" s="8"/>
      <c r="C79" s="3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x14ac:dyDescent="0.2">
      <c r="A80" s="38"/>
      <c r="B80" s="18"/>
      <c r="C80" s="18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spans="1:30" x14ac:dyDescent="0.2">
      <c r="A81" s="24"/>
      <c r="B81" s="41" t="s">
        <v>97</v>
      </c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</row>
    <row r="82" spans="1:30" x14ac:dyDescent="0.2">
      <c r="A82" s="39"/>
      <c r="B82" s="41" t="s">
        <v>98</v>
      </c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</row>
    <row r="83" spans="1:30" x14ac:dyDescent="0.2">
      <c r="A83" s="39"/>
      <c r="B83" s="41" t="s">
        <v>99</v>
      </c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</row>
    <row r="84" spans="1:30" s="40" customFormat="1" x14ac:dyDescent="0.2">
      <c r="A84" s="39"/>
      <c r="B84" s="41" t="s">
        <v>100</v>
      </c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</row>
    <row r="85" spans="1:30" s="40" customFormat="1" x14ac:dyDescent="0.2">
      <c r="A85" s="39"/>
      <c r="B85" s="41" t="s">
        <v>101</v>
      </c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</row>
    <row r="86" spans="1:30" s="40" customFormat="1" x14ac:dyDescent="0.2">
      <c r="A86" s="39"/>
      <c r="B86" s="41" t="s">
        <v>102</v>
      </c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</row>
    <row r="87" spans="1:30" s="40" customFormat="1" x14ac:dyDescent="0.2">
      <c r="A87" s="39"/>
      <c r="B87" s="41" t="s">
        <v>103</v>
      </c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</row>
    <row r="88" spans="1:30" s="40" customFormat="1" x14ac:dyDescent="0.2">
      <c r="A88" s="39"/>
      <c r="B88" s="41" t="s">
        <v>104</v>
      </c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</row>
    <row r="89" spans="1:30" s="40" customFormat="1" x14ac:dyDescent="0.2">
      <c r="A89" s="39"/>
      <c r="B89" s="41" t="s">
        <v>105</v>
      </c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</row>
    <row r="90" spans="1:30" s="40" customFormat="1" x14ac:dyDescent="0.2">
      <c r="A90" s="39"/>
      <c r="B90" s="41" t="s">
        <v>106</v>
      </c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13"/>
    </row>
    <row r="91" spans="1:30" s="40" customFormat="1" x14ac:dyDescent="0.2">
      <c r="A91" s="39"/>
      <c r="B91" s="41" t="s">
        <v>107</v>
      </c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</row>
    <row r="92" spans="1:30" s="40" customFormat="1" x14ac:dyDescent="0.2">
      <c r="A92" s="39"/>
      <c r="B92" s="41" t="s">
        <v>108</v>
      </c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13"/>
    </row>
    <row r="93" spans="1:30" s="40" customFormat="1" x14ac:dyDescent="0.2">
      <c r="A93" s="39"/>
      <c r="B93" s="41" t="s">
        <v>109</v>
      </c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</row>
    <row r="94" spans="1:30" s="40" customFormat="1" x14ac:dyDescent="0.2">
      <c r="A94" s="39"/>
      <c r="B94" s="41" t="s">
        <v>110</v>
      </c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</row>
    <row r="95" spans="1:30" s="40" customFormat="1" x14ac:dyDescent="0.2">
      <c r="A95" s="39"/>
      <c r="B95" s="41" t="s">
        <v>111</v>
      </c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</row>
    <row r="96" spans="1:30" s="40" customFormat="1" x14ac:dyDescent="0.2">
      <c r="A96" s="39"/>
      <c r="B96" s="41" t="s">
        <v>112</v>
      </c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</row>
    <row r="97" spans="1:31" s="40" customFormat="1" x14ac:dyDescent="0.2">
      <c r="A97" s="39"/>
      <c r="B97" s="41" t="s">
        <v>113</v>
      </c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</row>
    <row r="98" spans="1:31" s="40" customFormat="1" x14ac:dyDescent="0.2">
      <c r="A98" s="39"/>
      <c r="B98" s="41" t="s">
        <v>114</v>
      </c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</row>
    <row r="99" spans="1:31" s="40" customFormat="1" x14ac:dyDescent="0.2">
      <c r="A99" s="39"/>
      <c r="B99" s="41" t="s">
        <v>115</v>
      </c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</row>
    <row r="100" spans="1:31" s="40" customFormat="1" x14ac:dyDescent="0.2">
      <c r="A100" s="39"/>
      <c r="B100" s="41" t="s">
        <v>116</v>
      </c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</row>
    <row r="101" spans="1:31" s="40" customFormat="1" x14ac:dyDescent="0.2">
      <c r="A101" s="25"/>
      <c r="B101" s="41" t="s">
        <v>117</v>
      </c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14"/>
      <c r="AE101" s="14"/>
    </row>
    <row r="102" spans="1:31" s="40" customFormat="1" x14ac:dyDescent="0.2">
      <c r="A102" s="39"/>
      <c r="B102" s="41" t="s">
        <v>118</v>
      </c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</row>
    <row r="103" spans="1:31" s="40" customFormat="1" x14ac:dyDescent="0.2">
      <c r="A103" s="39"/>
      <c r="B103" s="41" t="s">
        <v>119</v>
      </c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</row>
    <row r="104" spans="1:31" s="40" customFormat="1" x14ac:dyDescent="0.2">
      <c r="A104" s="39"/>
      <c r="B104" s="41" t="s">
        <v>120</v>
      </c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</row>
    <row r="105" spans="1:31" s="40" customFormat="1" x14ac:dyDescent="0.2">
      <c r="A105" s="39"/>
      <c r="B105" s="41" t="s">
        <v>121</v>
      </c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</row>
    <row r="106" spans="1:31" s="40" customFormat="1" x14ac:dyDescent="0.2">
      <c r="A106" s="39"/>
      <c r="B106" s="41" t="s">
        <v>122</v>
      </c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</row>
    <row r="107" spans="1:31" s="40" customFormat="1" x14ac:dyDescent="0.2">
      <c r="A107" s="39"/>
      <c r="B107" s="41" t="s">
        <v>123</v>
      </c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  <mergeCell ref="X6:Y6"/>
    <mergeCell ref="I5:I7"/>
    <mergeCell ref="J5:J7"/>
    <mergeCell ref="K5:K7"/>
    <mergeCell ref="N6:O6"/>
    <mergeCell ref="P6:Q6"/>
    <mergeCell ref="L5:Q5"/>
    <mergeCell ref="B98:AC98"/>
    <mergeCell ref="Z6:AA6"/>
    <mergeCell ref="B100:AC100"/>
    <mergeCell ref="B101:AC101"/>
    <mergeCell ref="AB6:AC6"/>
    <mergeCell ref="B81:AC81"/>
    <mergeCell ref="B82:AC82"/>
    <mergeCell ref="B83:AC83"/>
    <mergeCell ref="B89:AC89"/>
    <mergeCell ref="B85:AC85"/>
    <mergeCell ref="B86:AC86"/>
    <mergeCell ref="B87:AC87"/>
    <mergeCell ref="B88:AC88"/>
    <mergeCell ref="R6:S6"/>
    <mergeCell ref="T6:U6"/>
    <mergeCell ref="V6:W6"/>
    <mergeCell ref="B99:AC99"/>
    <mergeCell ref="B84:AC84"/>
    <mergeCell ref="B107:AC107"/>
    <mergeCell ref="B90:AC90"/>
    <mergeCell ref="B103:AC103"/>
    <mergeCell ref="B104:AC104"/>
    <mergeCell ref="B105:AC105"/>
    <mergeCell ref="B106:AC106"/>
    <mergeCell ref="B102:AC102"/>
    <mergeCell ref="B91:AC91"/>
    <mergeCell ref="B92:AC92"/>
    <mergeCell ref="B93:AC93"/>
    <mergeCell ref="B94:AC94"/>
    <mergeCell ref="B95:AC95"/>
    <mergeCell ref="B96:AC96"/>
    <mergeCell ref="B97:AC9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April 2026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Nitin</cp:lastModifiedBy>
  <dcterms:created xsi:type="dcterms:W3CDTF">2026-05-18T06:10:35Z</dcterms:created>
  <dcterms:modified xsi:type="dcterms:W3CDTF">2026-06-24T10:48:48Z</dcterms:modified>
</cp:coreProperties>
</file>